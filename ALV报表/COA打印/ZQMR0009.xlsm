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ThisWorkbook"/>
  <bookViews>
    <workbookView xWindow="0" yWindow="0" windowWidth="20340" windowHeight="5355" tabRatio="896" activeTab="2"/>
  </bookViews>
  <sheets>
    <sheet name="数据源" sheetId="1" r:id="rId1"/>
    <sheet name="数据修正" sheetId="2" r:id="rId2"/>
    <sheet name="格式修正" sheetId="3" r:id="rId3"/>
    <sheet name="AH产品中文S" sheetId="15" r:id="rId4"/>
    <sheet name="AH产品PF" sheetId="14" r:id="rId5"/>
    <sheet name="AH保健品" sheetId="13" r:id="rId6"/>
    <sheet name="产品中文" sheetId="4" r:id="rId7"/>
    <sheet name="产品中文S" sheetId="5" r:id="rId8"/>
    <sheet name="产品PF" sheetId="6" r:id="rId9"/>
    <sheet name="产品批量" sheetId="12" r:id="rId10"/>
    <sheet name="物料" sheetId="7" r:id="rId11"/>
    <sheet name="AH物料" sheetId="16" r:id="rId12"/>
    <sheet name="包材QA" sheetId="11" r:id="rId13"/>
    <sheet name="包材QC" sheetId="8" r:id="rId14"/>
    <sheet name="英文" sheetId="9" r:id="rId15"/>
    <sheet name="AH英文" sheetId="17" r:id="rId16"/>
    <sheet name="英文附页" sheetId="10" r:id="rId17"/>
    <sheet name="AH英文附页" sheetId="18" r:id="rId18"/>
  </sheets>
  <definedNames>
    <definedName name="_xlnm.Print_Titles" localSheetId="5">AH保健品!$1:$17</definedName>
    <definedName name="_xlnm.Print_Titles" localSheetId="4">AH产品PF!$1:$17</definedName>
    <definedName name="_xlnm.Print_Titles" localSheetId="3">AH产品中文S!$1:$17</definedName>
    <definedName name="_xlnm.Print_Titles" localSheetId="11">AH物料!$1:$17</definedName>
    <definedName name="_xlnm.Print_Titles" localSheetId="15">AH英文!$1:$17</definedName>
    <definedName name="_xlnm.Print_Titles" localSheetId="17">AH英文附页!$1:$17</definedName>
    <definedName name="_xlnm.Print_Titles" localSheetId="12">包材QA!$1:$17</definedName>
    <definedName name="_xlnm.Print_Titles" localSheetId="13">包材QC!$1:$17</definedName>
    <definedName name="_xlnm.Print_Titles" localSheetId="8">产品PF!$1:$17</definedName>
    <definedName name="_xlnm.Print_Titles" localSheetId="9">产品批量!$1:$17</definedName>
    <definedName name="_xlnm.Print_Titles" localSheetId="6">产品中文!$1:$17</definedName>
    <definedName name="_xlnm.Print_Titles" localSheetId="7">产品中文S!$1:$17</definedName>
    <definedName name="_xlnm.Print_Titles" localSheetId="10">物料!$1:$17</definedName>
    <definedName name="_xlnm.Print_Titles" localSheetId="14">英文!$1:$17</definedName>
    <definedName name="_xlnm.Print_Titles" localSheetId="16">英文附页!$1:$17</definedName>
    <definedName name="RANGE_GELATIN">数据源!$AY$25:$BG$26</definedName>
    <definedName name="RANGE_MARA">数据源!$G$2:$G$12</definedName>
    <definedName name="RANGE_PLOS">数据源!$B$2:$B$9</definedName>
    <definedName name="RANGE_PLOS_KTEXT">数据源!$B$14</definedName>
    <definedName name="RANGE_S_INFO">数据源!$O$10:$O$12</definedName>
    <definedName name="RANGE_S_SAMPLE">数据源!$G$18:$G$22</definedName>
    <definedName name="RANGE_SAMPLE">数据源!$B$18:$B$22</definedName>
    <definedName name="RANGE_TEST_S">数据源!$T$25:$AL$26</definedName>
    <definedName name="RANGE_TEST_TX">数据源!$A$26:$S$80</definedName>
    <definedName name="RANGE_UNTEST_S">数据源!$AM$25:$AX$26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21" i="2"/>
  <c r="G23" i="8"/>
  <c r="C23"/>
  <c r="D22" i="11"/>
  <c r="B22"/>
  <c r="X5" i="2"/>
  <c r="X4"/>
  <c r="X3"/>
  <c r="W5"/>
  <c r="W4"/>
  <c r="W3"/>
  <c r="V16"/>
  <c r="G12" i="12" s="1"/>
  <c r="DD100" i="2"/>
  <c r="DD99"/>
  <c r="DD98"/>
  <c r="DD97"/>
  <c r="DD96"/>
  <c r="DD95"/>
  <c r="DD94"/>
  <c r="DD93"/>
  <c r="DD9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67"/>
  <c r="DD66"/>
  <c r="DD65"/>
  <c r="DD64"/>
  <c r="DD63"/>
  <c r="DD62"/>
  <c r="DD61"/>
  <c r="DD60"/>
  <c r="DD59"/>
  <c r="DD58"/>
  <c r="DD57"/>
  <c r="DD56"/>
  <c r="DD55"/>
  <c r="DD54"/>
  <c r="DD53"/>
  <c r="DD52"/>
  <c r="DD51"/>
  <c r="DD50"/>
  <c r="DD49"/>
  <c r="DD48"/>
  <c r="DD47"/>
  <c r="DD46"/>
  <c r="DD45"/>
  <c r="DD44"/>
  <c r="DD43"/>
  <c r="DD42"/>
  <c r="DD41"/>
  <c r="DD40"/>
  <c r="DD39"/>
  <c r="DD38"/>
  <c r="DD37"/>
  <c r="DD36"/>
  <c r="DD35"/>
  <c r="DD34"/>
  <c r="DD33"/>
  <c r="DD32"/>
  <c r="DD31"/>
  <c r="DD30"/>
  <c r="DD29"/>
  <c r="DD28"/>
  <c r="DD27"/>
  <c r="DD26"/>
  <c r="DD25"/>
  <c r="DD24"/>
  <c r="DD23"/>
  <c r="DD22"/>
  <c r="DD21"/>
  <c r="DD20"/>
  <c r="DD19"/>
  <c r="DD18"/>
  <c r="DD17"/>
  <c r="DD16"/>
  <c r="DD15"/>
  <c r="DD14"/>
  <c r="DD13"/>
  <c r="DD12"/>
  <c r="DD11"/>
  <c r="DD10"/>
  <c r="DD9"/>
  <c r="DD8"/>
  <c r="DD7"/>
  <c r="DD6"/>
  <c r="DD5"/>
  <c r="DD4"/>
  <c r="DD3"/>
  <c r="DD2"/>
  <c r="DD1"/>
  <c r="DC100"/>
  <c r="DC99"/>
  <c r="DC98"/>
  <c r="DC97"/>
  <c r="DC96"/>
  <c r="DC95"/>
  <c r="DC94"/>
  <c r="DC93"/>
  <c r="DC92"/>
  <c r="DC91"/>
  <c r="DC90"/>
  <c r="DC89"/>
  <c r="DC88"/>
  <c r="DC87"/>
  <c r="DC86"/>
  <c r="DC85"/>
  <c r="DC84"/>
  <c r="DC83"/>
  <c r="DC82"/>
  <c r="DC81"/>
  <c r="DC80"/>
  <c r="DC79"/>
  <c r="DC78"/>
  <c r="DC77"/>
  <c r="DC76"/>
  <c r="DC75"/>
  <c r="DC74"/>
  <c r="DC73"/>
  <c r="DC72"/>
  <c r="DC71"/>
  <c r="DC70"/>
  <c r="DC69"/>
  <c r="DC68"/>
  <c r="DC67"/>
  <c r="DC66"/>
  <c r="DC65"/>
  <c r="DC64"/>
  <c r="DC63"/>
  <c r="DC62"/>
  <c r="DC61"/>
  <c r="DC60"/>
  <c r="DC59"/>
  <c r="DC58"/>
  <c r="DC57"/>
  <c r="DC56"/>
  <c r="DC55"/>
  <c r="DC54"/>
  <c r="DC53"/>
  <c r="DC52"/>
  <c r="DC51"/>
  <c r="DC50"/>
  <c r="DC49"/>
  <c r="DC48"/>
  <c r="DC47"/>
  <c r="DC46"/>
  <c r="DC45"/>
  <c r="DC44"/>
  <c r="DC43"/>
  <c r="DC42"/>
  <c r="DC41"/>
  <c r="DC40"/>
  <c r="DC39"/>
  <c r="DC38"/>
  <c r="DC37"/>
  <c r="DC36"/>
  <c r="DC35"/>
  <c r="DC34"/>
  <c r="DC33"/>
  <c r="DC32"/>
  <c r="DC31"/>
  <c r="DC30"/>
  <c r="DC29"/>
  <c r="DC28"/>
  <c r="DC27"/>
  <c r="DC26"/>
  <c r="DC25"/>
  <c r="DC24"/>
  <c r="DC23"/>
  <c r="DC22"/>
  <c r="DC21"/>
  <c r="DC20"/>
  <c r="DC19"/>
  <c r="DC18"/>
  <c r="DC17"/>
  <c r="DC16"/>
  <c r="DC15"/>
  <c r="DC14"/>
  <c r="DC13"/>
  <c r="DC12"/>
  <c r="DC11"/>
  <c r="DC10"/>
  <c r="DC9"/>
  <c r="DC8"/>
  <c r="DC7"/>
  <c r="DC6"/>
  <c r="DC5"/>
  <c r="DC4"/>
  <c r="DC3"/>
  <c r="DC2"/>
  <c r="DC1"/>
  <c r="DB100"/>
  <c r="DB99"/>
  <c r="DB98"/>
  <c r="DB97"/>
  <c r="DB96"/>
  <c r="DB95"/>
  <c r="DB94"/>
  <c r="DB93"/>
  <c r="DB92"/>
  <c r="DB91"/>
  <c r="DB90"/>
  <c r="DB89"/>
  <c r="DB88"/>
  <c r="DB87"/>
  <c r="DB86"/>
  <c r="DB85"/>
  <c r="DB84"/>
  <c r="DB83"/>
  <c r="DB82"/>
  <c r="DB81"/>
  <c r="DB80"/>
  <c r="DB79"/>
  <c r="DB78"/>
  <c r="DB77"/>
  <c r="DB76"/>
  <c r="DB75"/>
  <c r="DB74"/>
  <c r="DB73"/>
  <c r="DB72"/>
  <c r="DB71"/>
  <c r="DB70"/>
  <c r="DB69"/>
  <c r="DB68"/>
  <c r="DB67"/>
  <c r="DB66"/>
  <c r="DB65"/>
  <c r="DB64"/>
  <c r="DB63"/>
  <c r="DB62"/>
  <c r="DB61"/>
  <c r="DB60"/>
  <c r="DB59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8"/>
  <c r="DB17"/>
  <c r="DB16"/>
  <c r="DB15"/>
  <c r="DB14"/>
  <c r="DB13"/>
  <c r="DB12"/>
  <c r="DB11"/>
  <c r="DB10"/>
  <c r="DB9"/>
  <c r="DB8"/>
  <c r="DB7"/>
  <c r="DB6"/>
  <c r="DB5"/>
  <c r="DB4"/>
  <c r="DB3"/>
  <c r="DB2"/>
  <c r="DB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1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DA9"/>
  <c r="DA8"/>
  <c r="DA7"/>
  <c r="DA6"/>
  <c r="DA5"/>
  <c r="DA4"/>
  <c r="DA3"/>
  <c r="DA2"/>
  <c r="DA1"/>
  <c r="G12" i="6"/>
  <c r="G12" i="4"/>
  <c r="G12" i="13"/>
  <c r="G11" i="15"/>
  <c r="G12" i="14" l="1"/>
  <c r="C10" i="16"/>
  <c r="C10" i="7"/>
  <c r="C12" i="18"/>
  <c r="C12" i="10"/>
  <c r="C12" i="17"/>
  <c r="C12" i="9"/>
  <c r="C11" i="8"/>
  <c r="C11" i="12"/>
  <c r="C11" i="6"/>
  <c r="C12" i="5"/>
  <c r="C11" i="4"/>
  <c r="C11" i="13"/>
  <c r="C11" i="14"/>
  <c r="C12" i="15"/>
  <c r="K60" i="3"/>
  <c r="V26" i="2" l="1"/>
  <c r="G9" i="18"/>
  <c r="G9" i="10"/>
  <c r="H9" i="17"/>
  <c r="H9" i="9"/>
  <c r="C13" i="7"/>
  <c r="G10" i="18"/>
  <c r="G10" i="10"/>
  <c r="H10" i="17"/>
  <c r="H10" i="9"/>
  <c r="G11" i="8"/>
  <c r="D12" i="11"/>
  <c r="G10" i="16"/>
  <c r="G10" i="7"/>
  <c r="G9" i="12"/>
  <c r="G9" i="6"/>
  <c r="G10" i="5"/>
  <c r="G9" i="4"/>
  <c r="G9" i="13"/>
  <c r="G9" i="14"/>
  <c r="G10" i="15"/>
  <c r="H7" i="18"/>
  <c r="H7" i="10"/>
  <c r="H7" i="17"/>
  <c r="H7" i="9"/>
  <c r="H8" i="8"/>
  <c r="D9" i="11"/>
  <c r="H7" i="16"/>
  <c r="H7" i="7"/>
  <c r="H6" i="12"/>
  <c r="H6" i="6"/>
  <c r="H7" i="5"/>
  <c r="H6" i="4"/>
  <c r="H6" i="13"/>
  <c r="H6" i="14"/>
  <c r="H7" i="15"/>
  <c r="C8" i="13"/>
  <c r="K100" i="2" l="1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K2"/>
  <c r="K1"/>
  <c r="BH33" i="1"/>
  <c r="BH32"/>
  <c r="BH31"/>
  <c r="BH30"/>
  <c r="BH29"/>
  <c r="BH28"/>
  <c r="BH27"/>
  <c r="BH26"/>
  <c r="L60" i="3"/>
  <c r="L59"/>
  <c r="K59"/>
  <c r="L58"/>
  <c r="K58"/>
  <c r="L57"/>
  <c r="K57"/>
  <c r="L56"/>
  <c r="K56"/>
  <c r="L55"/>
  <c r="K55"/>
  <c r="L54"/>
  <c r="K54"/>
  <c r="L53"/>
  <c r="K53"/>
  <c r="L52"/>
  <c r="K52"/>
  <c r="L51"/>
  <c r="K51"/>
  <c r="L50"/>
  <c r="K50"/>
  <c r="L49"/>
  <c r="K49"/>
  <c r="L48"/>
  <c r="K48"/>
  <c r="L47"/>
  <c r="K47"/>
  <c r="L46"/>
  <c r="K46"/>
  <c r="L45"/>
  <c r="K45"/>
  <c r="L44"/>
  <c r="K44"/>
  <c r="L43"/>
  <c r="K43"/>
  <c r="L42"/>
  <c r="K42"/>
  <c r="L41"/>
  <c r="K41"/>
  <c r="K32"/>
  <c r="L40" l="1"/>
  <c r="K40"/>
  <c r="L39"/>
  <c r="K39"/>
  <c r="L38"/>
  <c r="K38"/>
  <c r="L37"/>
  <c r="K37"/>
  <c r="L36"/>
  <c r="K36"/>
  <c r="L35"/>
  <c r="K35"/>
  <c r="L34"/>
  <c r="K34"/>
  <c r="L33"/>
  <c r="K33"/>
  <c r="L32"/>
  <c r="L31"/>
  <c r="K31"/>
  <c r="C15" i="18"/>
  <c r="G14"/>
  <c r="C14"/>
  <c r="G11"/>
  <c r="C11"/>
  <c r="C10"/>
  <c r="C9"/>
  <c r="C15" i="17"/>
  <c r="H14"/>
  <c r="C14"/>
  <c r="H11"/>
  <c r="C11"/>
  <c r="C10"/>
  <c r="C9"/>
  <c r="C14" i="16"/>
  <c r="C13"/>
  <c r="G12"/>
  <c r="C12"/>
  <c r="G9"/>
  <c r="C9"/>
  <c r="C14" i="15"/>
  <c r="G13"/>
  <c r="C13"/>
  <c r="G12"/>
  <c r="C11"/>
  <c r="C10"/>
  <c r="G9"/>
  <c r="C9"/>
  <c r="G14" i="14" l="1"/>
  <c r="C14"/>
  <c r="G13"/>
  <c r="C13"/>
  <c r="G11"/>
  <c r="G10"/>
  <c r="C10"/>
  <c r="C9"/>
  <c r="G8"/>
  <c r="C8"/>
  <c r="C14" i="13" l="1"/>
  <c r="G13"/>
  <c r="C13"/>
  <c r="G11"/>
  <c r="G10"/>
  <c r="C10"/>
  <c r="C9"/>
  <c r="G8"/>
  <c r="C12" i="8"/>
  <c r="D13" i="11"/>
  <c r="K2" i="3" l="1"/>
  <c r="R2" s="1"/>
  <c r="K23" l="1"/>
  <c r="K24"/>
  <c r="K25"/>
  <c r="K26"/>
  <c r="K27"/>
  <c r="K28"/>
  <c r="K29"/>
  <c r="K30"/>
  <c r="L17"/>
  <c r="L18"/>
  <c r="L19"/>
  <c r="L20"/>
  <c r="L21"/>
  <c r="L22"/>
  <c r="L23"/>
  <c r="L24"/>
  <c r="L25"/>
  <c r="L26"/>
  <c r="L27"/>
  <c r="L28"/>
  <c r="L29"/>
  <c r="L30"/>
  <c r="K17"/>
  <c r="K18"/>
  <c r="K19"/>
  <c r="K20"/>
  <c r="K21"/>
  <c r="K22"/>
  <c r="L13"/>
  <c r="K12"/>
  <c r="K13"/>
  <c r="J6"/>
  <c r="G6" l="1"/>
  <c r="BG2" i="2"/>
  <c r="BG3"/>
  <c r="BG4"/>
  <c r="BG5"/>
  <c r="BG6"/>
  <c r="BG7"/>
  <c r="BG8"/>
  <c r="BG9"/>
  <c r="BG10"/>
  <c r="BG11"/>
  <c r="BG12"/>
  <c r="BG13"/>
  <c r="BG14"/>
  <c r="BG15"/>
  <c r="BG16"/>
  <c r="BG17"/>
  <c r="BG18"/>
  <c r="BG19"/>
  <c r="BG20"/>
  <c r="BG21"/>
  <c r="BG22"/>
  <c r="BG23"/>
  <c r="BG24"/>
  <c r="BG25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75"/>
  <c r="BG76"/>
  <c r="BG77"/>
  <c r="BG78"/>
  <c r="BG79"/>
  <c r="BG80"/>
  <c r="BG81"/>
  <c r="BG82"/>
  <c r="BG83"/>
  <c r="BG84"/>
  <c r="BG85"/>
  <c r="BG86"/>
  <c r="BG87"/>
  <c r="BG88"/>
  <c r="BG89"/>
  <c r="BG90"/>
  <c r="BG91"/>
  <c r="BG92"/>
  <c r="BG93"/>
  <c r="BG94"/>
  <c r="BG95"/>
  <c r="BG96"/>
  <c r="BG97"/>
  <c r="BG98"/>
  <c r="BG99"/>
  <c r="BG100"/>
  <c r="BG1"/>
  <c r="B11" i="11" l="1"/>
  <c r="C10" i="8"/>
  <c r="C9" i="7"/>
  <c r="V7" i="2" l="1"/>
  <c r="C21" i="16" l="1"/>
  <c r="C21" i="15"/>
  <c r="C21" i="14"/>
  <c r="C21" i="13"/>
  <c r="J7" i="3"/>
  <c r="B13" i="11"/>
  <c r="C12" i="7"/>
  <c r="C10" i="10"/>
  <c r="H11" i="9"/>
  <c r="H14"/>
  <c r="G14" i="12"/>
  <c r="G13"/>
  <c r="G11"/>
  <c r="G10"/>
  <c r="G8"/>
  <c r="G13" i="6"/>
  <c r="C14" i="4" l="1"/>
  <c r="C10"/>
  <c r="C9"/>
  <c r="C8"/>
  <c r="G11"/>
  <c r="G10"/>
  <c r="G8"/>
  <c r="A84" i="2"/>
  <c r="B84"/>
  <c r="C84"/>
  <c r="D84"/>
  <c r="F84"/>
  <c r="G84"/>
  <c r="H84"/>
  <c r="I84"/>
  <c r="J84"/>
  <c r="L84"/>
  <c r="M84"/>
  <c r="N84"/>
  <c r="P84"/>
  <c r="Q84"/>
  <c r="R84"/>
  <c r="S84"/>
  <c r="T84"/>
  <c r="AW84"/>
  <c r="AX84"/>
  <c r="AY84"/>
  <c r="AZ84"/>
  <c r="BB84"/>
  <c r="BC84"/>
  <c r="BD84"/>
  <c r="BE84"/>
  <c r="BF84"/>
  <c r="BH84"/>
  <c r="BI84"/>
  <c r="BJ84"/>
  <c r="BL84"/>
  <c r="BM84"/>
  <c r="BN84"/>
  <c r="BO84"/>
  <c r="BP84"/>
  <c r="CP84"/>
  <c r="CR84"/>
  <c r="CS84"/>
  <c r="CW84"/>
  <c r="A85"/>
  <c r="B85"/>
  <c r="C85"/>
  <c r="D85"/>
  <c r="F85"/>
  <c r="G85"/>
  <c r="H85"/>
  <c r="I85"/>
  <c r="J85"/>
  <c r="L85"/>
  <c r="M85"/>
  <c r="N85"/>
  <c r="P85"/>
  <c r="Q85"/>
  <c r="R85"/>
  <c r="S85"/>
  <c r="T85"/>
  <c r="AW85"/>
  <c r="AX85"/>
  <c r="AY85"/>
  <c r="AZ85"/>
  <c r="BB85"/>
  <c r="BC85"/>
  <c r="BD85"/>
  <c r="BE85"/>
  <c r="BF85"/>
  <c r="BH85"/>
  <c r="BI85"/>
  <c r="BJ85"/>
  <c r="BL85"/>
  <c r="BM85"/>
  <c r="BN85"/>
  <c r="BO85"/>
  <c r="BP85"/>
  <c r="CP85"/>
  <c r="CR85"/>
  <c r="CS85"/>
  <c r="CW85"/>
  <c r="A86"/>
  <c r="B86"/>
  <c r="C86"/>
  <c r="D86"/>
  <c r="F86"/>
  <c r="G86"/>
  <c r="H86"/>
  <c r="I86"/>
  <c r="J86"/>
  <c r="L86"/>
  <c r="M86"/>
  <c r="N86"/>
  <c r="P86"/>
  <c r="Q86"/>
  <c r="R86"/>
  <c r="S86"/>
  <c r="T86"/>
  <c r="AW86"/>
  <c r="AX86"/>
  <c r="AY86"/>
  <c r="AZ86"/>
  <c r="BB86"/>
  <c r="BC86"/>
  <c r="BD86"/>
  <c r="BE86"/>
  <c r="BF86"/>
  <c r="BH86"/>
  <c r="BI86"/>
  <c r="BJ86"/>
  <c r="BL86"/>
  <c r="BM86"/>
  <c r="BN86"/>
  <c r="BO86"/>
  <c r="BP86"/>
  <c r="CP86"/>
  <c r="CR86"/>
  <c r="CS86"/>
  <c r="CW86"/>
  <c r="A87"/>
  <c r="B87"/>
  <c r="C87"/>
  <c r="D87"/>
  <c r="F87"/>
  <c r="G87"/>
  <c r="H87"/>
  <c r="I87"/>
  <c r="J87"/>
  <c r="L87"/>
  <c r="M87"/>
  <c r="N87"/>
  <c r="P87"/>
  <c r="Q87"/>
  <c r="R87"/>
  <c r="S87"/>
  <c r="T87"/>
  <c r="AW87"/>
  <c r="AX87"/>
  <c r="AY87"/>
  <c r="AZ87"/>
  <c r="BB87"/>
  <c r="BC87"/>
  <c r="BD87"/>
  <c r="BE87"/>
  <c r="BF87"/>
  <c r="BH87"/>
  <c r="BI87"/>
  <c r="BJ87"/>
  <c r="BL87"/>
  <c r="BM87"/>
  <c r="BN87"/>
  <c r="BO87"/>
  <c r="BP87"/>
  <c r="CP87"/>
  <c r="CR87"/>
  <c r="CS87"/>
  <c r="CW87"/>
  <c r="A88"/>
  <c r="B88"/>
  <c r="C88"/>
  <c r="D88"/>
  <c r="F88"/>
  <c r="G88"/>
  <c r="H88"/>
  <c r="I88"/>
  <c r="J88"/>
  <c r="L88"/>
  <c r="M88"/>
  <c r="N88"/>
  <c r="P88"/>
  <c r="Q88"/>
  <c r="R88"/>
  <c r="S88"/>
  <c r="T88"/>
  <c r="AW88"/>
  <c r="AX88"/>
  <c r="AY88"/>
  <c r="AZ88"/>
  <c r="BB88"/>
  <c r="BC88"/>
  <c r="BD88"/>
  <c r="BE88"/>
  <c r="BF88"/>
  <c r="BH88"/>
  <c r="BI88"/>
  <c r="BJ88"/>
  <c r="BL88"/>
  <c r="BM88"/>
  <c r="BN88"/>
  <c r="BO88"/>
  <c r="BP88"/>
  <c r="CP88"/>
  <c r="CR88"/>
  <c r="CS88"/>
  <c r="CW88"/>
  <c r="A89"/>
  <c r="B89"/>
  <c r="C89"/>
  <c r="D89"/>
  <c r="F89"/>
  <c r="G89"/>
  <c r="H89"/>
  <c r="I89"/>
  <c r="J89"/>
  <c r="L89"/>
  <c r="M89"/>
  <c r="N89"/>
  <c r="P89"/>
  <c r="Q89"/>
  <c r="R89"/>
  <c r="S89"/>
  <c r="T89"/>
  <c r="AW89"/>
  <c r="AX89"/>
  <c r="AY89"/>
  <c r="AZ89"/>
  <c r="BB89"/>
  <c r="BC89"/>
  <c r="BD89"/>
  <c r="BE89"/>
  <c r="BF89"/>
  <c r="BH89"/>
  <c r="BI89"/>
  <c r="BJ89"/>
  <c r="BL89"/>
  <c r="BM89"/>
  <c r="BN89"/>
  <c r="BO89"/>
  <c r="BP89"/>
  <c r="CP89"/>
  <c r="CR89"/>
  <c r="CS89"/>
  <c r="CW89"/>
  <c r="A90"/>
  <c r="B90"/>
  <c r="C90"/>
  <c r="D90"/>
  <c r="F90"/>
  <c r="G90"/>
  <c r="H90"/>
  <c r="I90"/>
  <c r="J90"/>
  <c r="L90"/>
  <c r="M90"/>
  <c r="N90"/>
  <c r="P90"/>
  <c r="Q90"/>
  <c r="R90"/>
  <c r="S90"/>
  <c r="T90"/>
  <c r="AW90"/>
  <c r="AX90"/>
  <c r="AY90"/>
  <c r="AZ90"/>
  <c r="BB90"/>
  <c r="BC90"/>
  <c r="BD90"/>
  <c r="BE90"/>
  <c r="BF90"/>
  <c r="BH90"/>
  <c r="BI90"/>
  <c r="BJ90"/>
  <c r="BL90"/>
  <c r="BM90"/>
  <c r="BN90"/>
  <c r="BO90"/>
  <c r="BP90"/>
  <c r="CP90"/>
  <c r="CR90"/>
  <c r="CS90"/>
  <c r="CW90"/>
  <c r="A91"/>
  <c r="B91"/>
  <c r="C91"/>
  <c r="D91"/>
  <c r="F91"/>
  <c r="G91"/>
  <c r="H91"/>
  <c r="I91"/>
  <c r="J91"/>
  <c r="L91"/>
  <c r="M91"/>
  <c r="N91"/>
  <c r="P91"/>
  <c r="Q91"/>
  <c r="R91"/>
  <c r="S91"/>
  <c r="T91"/>
  <c r="AW91"/>
  <c r="AX91"/>
  <c r="AY91"/>
  <c r="AZ91"/>
  <c r="BB91"/>
  <c r="BC91"/>
  <c r="BD91"/>
  <c r="BE91"/>
  <c r="BF91"/>
  <c r="BH91"/>
  <c r="BI91"/>
  <c r="BJ91"/>
  <c r="BL91"/>
  <c r="BM91"/>
  <c r="BN91"/>
  <c r="BO91"/>
  <c r="BP91"/>
  <c r="CP91"/>
  <c r="CR91"/>
  <c r="CS91"/>
  <c r="CW91"/>
  <c r="A92"/>
  <c r="B92"/>
  <c r="C92"/>
  <c r="D92"/>
  <c r="F92"/>
  <c r="G92"/>
  <c r="H92"/>
  <c r="I92"/>
  <c r="J92"/>
  <c r="L92"/>
  <c r="M92"/>
  <c r="N92"/>
  <c r="P92"/>
  <c r="Q92"/>
  <c r="R92"/>
  <c r="S92"/>
  <c r="T92"/>
  <c r="AW92"/>
  <c r="AX92"/>
  <c r="AY92"/>
  <c r="AZ92"/>
  <c r="BB92"/>
  <c r="BC92"/>
  <c r="BD92"/>
  <c r="BE92"/>
  <c r="BF92"/>
  <c r="BH92"/>
  <c r="BI92"/>
  <c r="BJ92"/>
  <c r="BL92"/>
  <c r="BM92"/>
  <c r="BN92"/>
  <c r="BO92"/>
  <c r="BP92"/>
  <c r="CP92"/>
  <c r="CR92"/>
  <c r="CS92"/>
  <c r="CW92"/>
  <c r="A93"/>
  <c r="B93"/>
  <c r="C93"/>
  <c r="D93"/>
  <c r="F93"/>
  <c r="G93"/>
  <c r="H93"/>
  <c r="I93"/>
  <c r="J93"/>
  <c r="L93"/>
  <c r="M93"/>
  <c r="N93"/>
  <c r="P93"/>
  <c r="Q93"/>
  <c r="R93"/>
  <c r="S93"/>
  <c r="T93"/>
  <c r="AW93"/>
  <c r="AX93"/>
  <c r="AY93"/>
  <c r="AZ93"/>
  <c r="BB93"/>
  <c r="BC93"/>
  <c r="BD93"/>
  <c r="BE93"/>
  <c r="BF93"/>
  <c r="BH93"/>
  <c r="BI93"/>
  <c r="BJ93"/>
  <c r="BL93"/>
  <c r="BM93"/>
  <c r="BN93"/>
  <c r="BO93"/>
  <c r="BP93"/>
  <c r="CP93"/>
  <c r="CR93"/>
  <c r="CS93"/>
  <c r="CW93"/>
  <c r="A94"/>
  <c r="B94"/>
  <c r="C94"/>
  <c r="D94"/>
  <c r="F94"/>
  <c r="G94"/>
  <c r="H94"/>
  <c r="I94"/>
  <c r="J94"/>
  <c r="L94"/>
  <c r="M94"/>
  <c r="N94"/>
  <c r="P94"/>
  <c r="Q94"/>
  <c r="R94"/>
  <c r="S94"/>
  <c r="T94"/>
  <c r="AW94"/>
  <c r="AX94"/>
  <c r="AY94"/>
  <c r="AZ94"/>
  <c r="BB94"/>
  <c r="BC94"/>
  <c r="BD94"/>
  <c r="BE94"/>
  <c r="BF94"/>
  <c r="BH94"/>
  <c r="BI94"/>
  <c r="BJ94"/>
  <c r="BL94"/>
  <c r="BM94"/>
  <c r="BN94"/>
  <c r="BO94"/>
  <c r="BP94"/>
  <c r="CP94"/>
  <c r="CR94"/>
  <c r="CS94"/>
  <c r="CW94"/>
  <c r="A95"/>
  <c r="B95"/>
  <c r="C95"/>
  <c r="D95"/>
  <c r="F95"/>
  <c r="G95"/>
  <c r="H95"/>
  <c r="I95"/>
  <c r="J95"/>
  <c r="L95"/>
  <c r="M95"/>
  <c r="N95"/>
  <c r="P95"/>
  <c r="Q95"/>
  <c r="R95"/>
  <c r="S95"/>
  <c r="T95"/>
  <c r="AW95"/>
  <c r="AX95"/>
  <c r="AY95"/>
  <c r="AZ95"/>
  <c r="BB95"/>
  <c r="BC95"/>
  <c r="BD95"/>
  <c r="BE95"/>
  <c r="BF95"/>
  <c r="BH95"/>
  <c r="BI95"/>
  <c r="BJ95"/>
  <c r="BL95"/>
  <c r="BM95"/>
  <c r="BN95"/>
  <c r="BO95"/>
  <c r="BP95"/>
  <c r="CP95"/>
  <c r="CR95"/>
  <c r="CS95"/>
  <c r="CW95"/>
  <c r="A96"/>
  <c r="B96"/>
  <c r="C96"/>
  <c r="D96"/>
  <c r="F96"/>
  <c r="G96"/>
  <c r="H96"/>
  <c r="I96"/>
  <c r="J96"/>
  <c r="L96"/>
  <c r="M96"/>
  <c r="N96"/>
  <c r="P96"/>
  <c r="Q96"/>
  <c r="R96"/>
  <c r="S96"/>
  <c r="T96"/>
  <c r="AW96"/>
  <c r="AX96"/>
  <c r="AY96"/>
  <c r="AZ96"/>
  <c r="BB96"/>
  <c r="BC96"/>
  <c r="BD96"/>
  <c r="BE96"/>
  <c r="BF96"/>
  <c r="BH96"/>
  <c r="BI96"/>
  <c r="BJ96"/>
  <c r="BL96"/>
  <c r="BM96"/>
  <c r="BN96"/>
  <c r="BO96"/>
  <c r="BP96"/>
  <c r="CP96"/>
  <c r="CR96"/>
  <c r="CS96"/>
  <c r="CW96"/>
  <c r="A97"/>
  <c r="B97"/>
  <c r="C97"/>
  <c r="D97"/>
  <c r="F97"/>
  <c r="G97"/>
  <c r="H97"/>
  <c r="I97"/>
  <c r="J97"/>
  <c r="L97"/>
  <c r="M97"/>
  <c r="N97"/>
  <c r="P97"/>
  <c r="Q97"/>
  <c r="R97"/>
  <c r="S97"/>
  <c r="T97"/>
  <c r="AW97"/>
  <c r="AX97"/>
  <c r="AY97"/>
  <c r="AZ97"/>
  <c r="BB97"/>
  <c r="BC97"/>
  <c r="BD97"/>
  <c r="BE97"/>
  <c r="BF97"/>
  <c r="BH97"/>
  <c r="BI97"/>
  <c r="BJ97"/>
  <c r="BL97"/>
  <c r="BM97"/>
  <c r="BN97"/>
  <c r="BO97"/>
  <c r="BP97"/>
  <c r="CP97"/>
  <c r="CR97"/>
  <c r="CS97"/>
  <c r="CW97"/>
  <c r="A98"/>
  <c r="B98"/>
  <c r="C98"/>
  <c r="D98"/>
  <c r="F98"/>
  <c r="G98"/>
  <c r="H98"/>
  <c r="I98"/>
  <c r="J98"/>
  <c r="L98"/>
  <c r="M98"/>
  <c r="N98"/>
  <c r="P98"/>
  <c r="Q98"/>
  <c r="R98"/>
  <c r="S98"/>
  <c r="T98"/>
  <c r="AW98"/>
  <c r="AX98"/>
  <c r="AY98"/>
  <c r="AZ98"/>
  <c r="BB98"/>
  <c r="BC98"/>
  <c r="BD98"/>
  <c r="BE98"/>
  <c r="BF98"/>
  <c r="BH98"/>
  <c r="BI98"/>
  <c r="BJ98"/>
  <c r="BL98"/>
  <c r="BM98"/>
  <c r="BN98"/>
  <c r="BO98"/>
  <c r="BP98"/>
  <c r="CP98"/>
  <c r="CR98"/>
  <c r="CS98"/>
  <c r="CW98"/>
  <c r="A99"/>
  <c r="B99"/>
  <c r="C99"/>
  <c r="D99"/>
  <c r="F99"/>
  <c r="G99"/>
  <c r="H99"/>
  <c r="I99"/>
  <c r="J99"/>
  <c r="L99"/>
  <c r="M99"/>
  <c r="N99"/>
  <c r="P99"/>
  <c r="Q99"/>
  <c r="R99"/>
  <c r="S99"/>
  <c r="T99"/>
  <c r="AW99"/>
  <c r="AX99"/>
  <c r="AY99"/>
  <c r="AZ99"/>
  <c r="BB99"/>
  <c r="BC99"/>
  <c r="BD99"/>
  <c r="BE99"/>
  <c r="BF99"/>
  <c r="BH99"/>
  <c r="BI99"/>
  <c r="BJ99"/>
  <c r="BL99"/>
  <c r="BM99"/>
  <c r="BN99"/>
  <c r="BO99"/>
  <c r="BP99"/>
  <c r="CP99"/>
  <c r="CR99"/>
  <c r="CS99"/>
  <c r="CW99"/>
  <c r="A100"/>
  <c r="B100"/>
  <c r="C100"/>
  <c r="D100"/>
  <c r="F100"/>
  <c r="G100"/>
  <c r="H100"/>
  <c r="I100"/>
  <c r="J100"/>
  <c r="L100"/>
  <c r="M100"/>
  <c r="N100"/>
  <c r="P100"/>
  <c r="Q100"/>
  <c r="R100"/>
  <c r="S100"/>
  <c r="T100"/>
  <c r="AW100"/>
  <c r="AX100"/>
  <c r="AY100"/>
  <c r="AZ100"/>
  <c r="BB100"/>
  <c r="BC100"/>
  <c r="BD100"/>
  <c r="BE100"/>
  <c r="BF100"/>
  <c r="BH100"/>
  <c r="BI100"/>
  <c r="BJ100"/>
  <c r="BL100"/>
  <c r="BM100"/>
  <c r="BN100"/>
  <c r="BO100"/>
  <c r="BP100"/>
  <c r="CP100"/>
  <c r="CR100"/>
  <c r="CS100"/>
  <c r="CW100"/>
  <c r="C10" i="9"/>
  <c r="H5" i="3" l="1"/>
  <c r="AB17"/>
  <c r="AB18"/>
  <c r="AB19"/>
  <c r="AB20"/>
  <c r="AB16"/>
  <c r="AB8" l="1"/>
  <c r="AA19"/>
  <c r="AC19" s="1"/>
  <c r="AD19"/>
  <c r="AE19" s="1"/>
  <c r="AA20"/>
  <c r="AC20" s="1"/>
  <c r="AD20"/>
  <c r="AE20" s="1"/>
  <c r="AA17"/>
  <c r="AC17" s="1"/>
  <c r="AA18"/>
  <c r="AC18" s="1"/>
  <c r="AD17"/>
  <c r="AE17" s="1"/>
  <c r="AD18"/>
  <c r="AE18" s="1"/>
  <c r="AD16"/>
  <c r="AE16" s="1"/>
  <c r="AA16"/>
  <c r="L14"/>
  <c r="L15"/>
  <c r="L16"/>
  <c r="L12"/>
  <c r="K14"/>
  <c r="K15"/>
  <c r="K16"/>
  <c r="G7"/>
  <c r="Z7"/>
  <c r="Z5"/>
  <c r="AC5" s="1"/>
  <c r="AG5" s="1"/>
  <c r="AB7"/>
  <c r="AB6"/>
  <c r="AD5" l="1"/>
  <c r="AC16"/>
  <c r="AA15" s="1"/>
  <c r="Z8" s="1"/>
  <c r="AC8" s="1"/>
  <c r="AG8" s="1"/>
  <c r="Z6"/>
  <c r="AC6" s="1"/>
  <c r="AC7" l="1"/>
  <c r="AD8" l="1"/>
  <c r="AE8" s="1"/>
  <c r="AH5"/>
  <c r="AB5"/>
  <c r="AD7"/>
  <c r="AE7" s="1"/>
  <c r="CW2" i="2" l="1"/>
  <c r="CW3"/>
  <c r="CW4"/>
  <c r="CW5"/>
  <c r="CW6"/>
  <c r="CW7"/>
  <c r="CW8"/>
  <c r="CW9"/>
  <c r="CW10"/>
  <c r="CW11"/>
  <c r="CW12"/>
  <c r="CW13"/>
  <c r="CW14"/>
  <c r="CW15"/>
  <c r="CW16"/>
  <c r="CW17"/>
  <c r="CW18"/>
  <c r="CW19"/>
  <c r="CW20"/>
  <c r="CW21"/>
  <c r="CW22"/>
  <c r="CW23"/>
  <c r="CW24"/>
  <c r="CW25"/>
  <c r="CW26"/>
  <c r="CW27"/>
  <c r="CW28"/>
  <c r="CW29"/>
  <c r="CW30"/>
  <c r="CW31"/>
  <c r="CW32"/>
  <c r="CW33"/>
  <c r="CW34"/>
  <c r="CW35"/>
  <c r="CW36"/>
  <c r="CW37"/>
  <c r="CW38"/>
  <c r="CW39"/>
  <c r="CW40"/>
  <c r="CW41"/>
  <c r="CW42"/>
  <c r="CW43"/>
  <c r="CW44"/>
  <c r="CW45"/>
  <c r="CW46"/>
  <c r="CW47"/>
  <c r="CW48"/>
  <c r="CW49"/>
  <c r="CW50"/>
  <c r="CW51"/>
  <c r="CW52"/>
  <c r="CW53"/>
  <c r="CW54"/>
  <c r="CW55"/>
  <c r="CW56"/>
  <c r="CW57"/>
  <c r="CW58"/>
  <c r="CW59"/>
  <c r="CW60"/>
  <c r="CW61"/>
  <c r="CW62"/>
  <c r="CW63"/>
  <c r="CW64"/>
  <c r="CW65"/>
  <c r="CW66"/>
  <c r="CW67"/>
  <c r="CW68"/>
  <c r="CW69"/>
  <c r="CW70"/>
  <c r="CW71"/>
  <c r="CW72"/>
  <c r="CW73"/>
  <c r="CW74"/>
  <c r="CW75"/>
  <c r="CW76"/>
  <c r="CW77"/>
  <c r="CW78"/>
  <c r="CW79"/>
  <c r="CW80"/>
  <c r="CW81"/>
  <c r="CW82"/>
  <c r="CW83"/>
  <c r="CW1"/>
  <c r="CS2" l="1"/>
  <c r="CS3"/>
  <c r="CS4"/>
  <c r="CS5"/>
  <c r="CS6"/>
  <c r="CS7"/>
  <c r="CS8"/>
  <c r="CS9"/>
  <c r="CS10"/>
  <c r="CS11"/>
  <c r="CS12"/>
  <c r="CS13"/>
  <c r="CS14"/>
  <c r="CS15"/>
  <c r="CS16"/>
  <c r="CS17"/>
  <c r="CS18"/>
  <c r="CS19"/>
  <c r="CS20"/>
  <c r="CS21"/>
  <c r="CS22"/>
  <c r="CS23"/>
  <c r="CS24"/>
  <c r="CS25"/>
  <c r="CS26"/>
  <c r="CS27"/>
  <c r="CS28"/>
  <c r="CS29"/>
  <c r="CS30"/>
  <c r="CS31"/>
  <c r="CS32"/>
  <c r="CS33"/>
  <c r="CS34"/>
  <c r="CS35"/>
  <c r="CS36"/>
  <c r="CS37"/>
  <c r="CS38"/>
  <c r="CS39"/>
  <c r="CS40"/>
  <c r="CS41"/>
  <c r="CS42"/>
  <c r="CS43"/>
  <c r="CS44"/>
  <c r="CS45"/>
  <c r="CS46"/>
  <c r="CS47"/>
  <c r="CS48"/>
  <c r="CS49"/>
  <c r="CS50"/>
  <c r="CS51"/>
  <c r="CS52"/>
  <c r="CS53"/>
  <c r="CS54"/>
  <c r="CS55"/>
  <c r="CS56"/>
  <c r="CS57"/>
  <c r="CS58"/>
  <c r="CS59"/>
  <c r="CS60"/>
  <c r="CS61"/>
  <c r="CS62"/>
  <c r="CS63"/>
  <c r="CS64"/>
  <c r="CS65"/>
  <c r="CS66"/>
  <c r="CS67"/>
  <c r="CS68"/>
  <c r="CS69"/>
  <c r="CS70"/>
  <c r="CS71"/>
  <c r="CS72"/>
  <c r="CS73"/>
  <c r="CS74"/>
  <c r="CS75"/>
  <c r="CS76"/>
  <c r="CS77"/>
  <c r="CS78"/>
  <c r="CS79"/>
  <c r="CS80"/>
  <c r="CS81"/>
  <c r="CS82"/>
  <c r="CS83"/>
  <c r="CS1"/>
  <c r="CR2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CR21"/>
  <c r="CR22"/>
  <c r="CR23"/>
  <c r="CR24"/>
  <c r="CR25"/>
  <c r="CR26"/>
  <c r="CR27"/>
  <c r="CR28"/>
  <c r="CR29"/>
  <c r="CR30"/>
  <c r="CR31"/>
  <c r="CR32"/>
  <c r="CR33"/>
  <c r="CR34"/>
  <c r="CR35"/>
  <c r="CR36"/>
  <c r="CR37"/>
  <c r="CR38"/>
  <c r="CR39"/>
  <c r="CR40"/>
  <c r="CR41"/>
  <c r="CR42"/>
  <c r="CR43"/>
  <c r="CR44"/>
  <c r="CR45"/>
  <c r="CR46"/>
  <c r="CR47"/>
  <c r="CR48"/>
  <c r="CR49"/>
  <c r="CR50"/>
  <c r="CR51"/>
  <c r="CR52"/>
  <c r="CR53"/>
  <c r="CR54"/>
  <c r="CR55"/>
  <c r="CR56"/>
  <c r="CR57"/>
  <c r="CR58"/>
  <c r="CR59"/>
  <c r="CR60"/>
  <c r="CR61"/>
  <c r="CR62"/>
  <c r="CR63"/>
  <c r="CR64"/>
  <c r="CR65"/>
  <c r="CR66"/>
  <c r="CR67"/>
  <c r="CR68"/>
  <c r="CR69"/>
  <c r="CR70"/>
  <c r="CR71"/>
  <c r="CR72"/>
  <c r="CR73"/>
  <c r="CR74"/>
  <c r="CR75"/>
  <c r="CR76"/>
  <c r="CR77"/>
  <c r="CR78"/>
  <c r="CR79"/>
  <c r="CR80"/>
  <c r="CR81"/>
  <c r="CR82"/>
  <c r="CR83"/>
  <c r="CR1"/>
  <c r="CP2"/>
  <c r="CP3"/>
  <c r="CP4"/>
  <c r="CP5"/>
  <c r="CP6"/>
  <c r="CP7"/>
  <c r="CP8"/>
  <c r="CP9"/>
  <c r="CP10"/>
  <c r="CP11"/>
  <c r="CP12"/>
  <c r="CP13"/>
  <c r="CP14"/>
  <c r="CP15"/>
  <c r="CP16"/>
  <c r="CP17"/>
  <c r="CP18"/>
  <c r="CP19"/>
  <c r="CP20"/>
  <c r="CP21"/>
  <c r="CP22"/>
  <c r="CP23"/>
  <c r="CP24"/>
  <c r="CP25"/>
  <c r="CP26"/>
  <c r="CP27"/>
  <c r="CP28"/>
  <c r="CP29"/>
  <c r="CP30"/>
  <c r="CP31"/>
  <c r="CP32"/>
  <c r="CP33"/>
  <c r="CP34"/>
  <c r="CP35"/>
  <c r="CP36"/>
  <c r="CP37"/>
  <c r="CP38"/>
  <c r="CP39"/>
  <c r="CP40"/>
  <c r="CP41"/>
  <c r="CP42"/>
  <c r="CP43"/>
  <c r="CP44"/>
  <c r="CP45"/>
  <c r="CP46"/>
  <c r="CP47"/>
  <c r="CP48"/>
  <c r="CP49"/>
  <c r="CP50"/>
  <c r="CP51"/>
  <c r="CP52"/>
  <c r="CP53"/>
  <c r="CP54"/>
  <c r="CP55"/>
  <c r="CP56"/>
  <c r="CP57"/>
  <c r="CP58"/>
  <c r="CP59"/>
  <c r="CP60"/>
  <c r="CP61"/>
  <c r="CP62"/>
  <c r="CP63"/>
  <c r="CP64"/>
  <c r="CP65"/>
  <c r="CP66"/>
  <c r="CP67"/>
  <c r="CP68"/>
  <c r="CP69"/>
  <c r="CP70"/>
  <c r="CP71"/>
  <c r="CP72"/>
  <c r="CP73"/>
  <c r="CP74"/>
  <c r="CP75"/>
  <c r="CP76"/>
  <c r="CP77"/>
  <c r="CP78"/>
  <c r="CP79"/>
  <c r="CP80"/>
  <c r="CP81"/>
  <c r="CP82"/>
  <c r="CP83"/>
  <c r="CP1"/>
  <c r="BP2" l="1"/>
  <c r="BP3"/>
  <c r="BP4"/>
  <c r="BP5"/>
  <c r="BP6"/>
  <c r="BP7"/>
  <c r="BP8"/>
  <c r="BP9"/>
  <c r="BP10"/>
  <c r="BP11"/>
  <c r="BP12"/>
  <c r="BP13"/>
  <c r="BP14"/>
  <c r="BP15"/>
  <c r="BP16"/>
  <c r="BP17"/>
  <c r="BP18"/>
  <c r="BP19"/>
  <c r="BP20"/>
  <c r="BP21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P47"/>
  <c r="BP48"/>
  <c r="BP49"/>
  <c r="BP50"/>
  <c r="BP51"/>
  <c r="BP52"/>
  <c r="BP53"/>
  <c r="BP54"/>
  <c r="BP55"/>
  <c r="BP56"/>
  <c r="BP57"/>
  <c r="BP58"/>
  <c r="BP59"/>
  <c r="BP60"/>
  <c r="BP61"/>
  <c r="BP62"/>
  <c r="BP63"/>
  <c r="BP64"/>
  <c r="BP65"/>
  <c r="BP66"/>
  <c r="BP67"/>
  <c r="BP68"/>
  <c r="BP69"/>
  <c r="BP70"/>
  <c r="BP71"/>
  <c r="BP72"/>
  <c r="BP73"/>
  <c r="BP74"/>
  <c r="BP75"/>
  <c r="BP76"/>
  <c r="BP77"/>
  <c r="BP78"/>
  <c r="BP79"/>
  <c r="BP80"/>
  <c r="BP81"/>
  <c r="BP82"/>
  <c r="BP83"/>
  <c r="BP1"/>
  <c r="BO2"/>
  <c r="BO3"/>
  <c r="BO4"/>
  <c r="BO5"/>
  <c r="BO6"/>
  <c r="BO7"/>
  <c r="BO8"/>
  <c r="BO9"/>
  <c r="BO10"/>
  <c r="BO11"/>
  <c r="BO12"/>
  <c r="BO13"/>
  <c r="BO14"/>
  <c r="BO15"/>
  <c r="BO16"/>
  <c r="BO17"/>
  <c r="BO18"/>
  <c r="BO19"/>
  <c r="BO20"/>
  <c r="BO21"/>
  <c r="BO22"/>
  <c r="BO23"/>
  <c r="BO24"/>
  <c r="BO25"/>
  <c r="BO26"/>
  <c r="BO27"/>
  <c r="BO28"/>
  <c r="BO29"/>
  <c r="BO30"/>
  <c r="BO31"/>
  <c r="BO32"/>
  <c r="BO33"/>
  <c r="BO34"/>
  <c r="BO35"/>
  <c r="BO36"/>
  <c r="BO37"/>
  <c r="BO38"/>
  <c r="BO39"/>
  <c r="BO40"/>
  <c r="BO41"/>
  <c r="BO42"/>
  <c r="BO43"/>
  <c r="BO44"/>
  <c r="BO45"/>
  <c r="BO46"/>
  <c r="BO47"/>
  <c r="BO48"/>
  <c r="BO49"/>
  <c r="BO50"/>
  <c r="BO51"/>
  <c r="BO52"/>
  <c r="BO53"/>
  <c r="BO54"/>
  <c r="BO55"/>
  <c r="BO56"/>
  <c r="BO57"/>
  <c r="BO58"/>
  <c r="BO59"/>
  <c r="BO60"/>
  <c r="BO61"/>
  <c r="BO62"/>
  <c r="BO63"/>
  <c r="BO64"/>
  <c r="BO65"/>
  <c r="BO66"/>
  <c r="BO67"/>
  <c r="BO68"/>
  <c r="BO69"/>
  <c r="BO70"/>
  <c r="BO71"/>
  <c r="BO72"/>
  <c r="BO73"/>
  <c r="BO74"/>
  <c r="BO75"/>
  <c r="BO76"/>
  <c r="BO77"/>
  <c r="BO78"/>
  <c r="BO79"/>
  <c r="BO80"/>
  <c r="BO81"/>
  <c r="BO82"/>
  <c r="BO83"/>
  <c r="BO1"/>
  <c r="BN2" l="1"/>
  <c r="BN3"/>
  <c r="BN4"/>
  <c r="BN5"/>
  <c r="BN6"/>
  <c r="BN7"/>
  <c r="BN8"/>
  <c r="BN9"/>
  <c r="BN10"/>
  <c r="BN11"/>
  <c r="BN12"/>
  <c r="BN13"/>
  <c r="BN14"/>
  <c r="BN15"/>
  <c r="BN16"/>
  <c r="BN17"/>
  <c r="BN18"/>
  <c r="BN19"/>
  <c r="BN20"/>
  <c r="BN21"/>
  <c r="BN22"/>
  <c r="BN23"/>
  <c r="BN24"/>
  <c r="BN25"/>
  <c r="BN26"/>
  <c r="BN27"/>
  <c r="BN28"/>
  <c r="BN29"/>
  <c r="BN30"/>
  <c r="BN31"/>
  <c r="BN32"/>
  <c r="BN33"/>
  <c r="BN34"/>
  <c r="BN35"/>
  <c r="BN36"/>
  <c r="BN37"/>
  <c r="BN38"/>
  <c r="BN39"/>
  <c r="BN40"/>
  <c r="BN41"/>
  <c r="BN42"/>
  <c r="BN43"/>
  <c r="BN44"/>
  <c r="BN45"/>
  <c r="BN46"/>
  <c r="BN47"/>
  <c r="BN48"/>
  <c r="BN49"/>
  <c r="BN50"/>
  <c r="BN51"/>
  <c r="BN52"/>
  <c r="BN53"/>
  <c r="BN54"/>
  <c r="BN55"/>
  <c r="BN56"/>
  <c r="BN57"/>
  <c r="BN58"/>
  <c r="BN59"/>
  <c r="BN60"/>
  <c r="BN61"/>
  <c r="BN62"/>
  <c r="BN63"/>
  <c r="BN64"/>
  <c r="BN65"/>
  <c r="BN66"/>
  <c r="BN67"/>
  <c r="BN68"/>
  <c r="BN69"/>
  <c r="BN70"/>
  <c r="BN71"/>
  <c r="BN72"/>
  <c r="BN73"/>
  <c r="BN74"/>
  <c r="BN75"/>
  <c r="BN76"/>
  <c r="BN77"/>
  <c r="BN78"/>
  <c r="BN79"/>
  <c r="BN80"/>
  <c r="BN81"/>
  <c r="BN82"/>
  <c r="BN83"/>
  <c r="BN1"/>
  <c r="BJ2"/>
  <c r="BJ3"/>
  <c r="BJ4"/>
  <c r="BJ5"/>
  <c r="BJ6"/>
  <c r="BJ7"/>
  <c r="BJ8"/>
  <c r="BJ9"/>
  <c r="BJ10"/>
  <c r="BJ11"/>
  <c r="BJ12"/>
  <c r="BJ13"/>
  <c r="BJ14"/>
  <c r="BJ15"/>
  <c r="BJ16"/>
  <c r="BJ17"/>
  <c r="BJ18"/>
  <c r="BJ19"/>
  <c r="BJ20"/>
  <c r="BJ21"/>
  <c r="BJ22"/>
  <c r="BJ23"/>
  <c r="BJ24"/>
  <c r="BJ25"/>
  <c r="BJ26"/>
  <c r="BJ27"/>
  <c r="BJ28"/>
  <c r="BJ29"/>
  <c r="BJ30"/>
  <c r="BJ31"/>
  <c r="BJ32"/>
  <c r="BJ33"/>
  <c r="BJ34"/>
  <c r="BJ35"/>
  <c r="BJ36"/>
  <c r="BJ37"/>
  <c r="BJ38"/>
  <c r="BJ39"/>
  <c r="BJ40"/>
  <c r="BJ41"/>
  <c r="BJ42"/>
  <c r="BJ43"/>
  <c r="BJ44"/>
  <c r="BJ45"/>
  <c r="BJ46"/>
  <c r="BJ47"/>
  <c r="BJ48"/>
  <c r="BJ49"/>
  <c r="BJ50"/>
  <c r="BJ51"/>
  <c r="BJ52"/>
  <c r="BJ53"/>
  <c r="BJ54"/>
  <c r="BJ55"/>
  <c r="BJ56"/>
  <c r="BJ57"/>
  <c r="BJ58"/>
  <c r="BJ59"/>
  <c r="BJ60"/>
  <c r="BJ61"/>
  <c r="BJ62"/>
  <c r="BJ63"/>
  <c r="BJ64"/>
  <c r="BJ65"/>
  <c r="BJ66"/>
  <c r="BJ67"/>
  <c r="BJ68"/>
  <c r="BJ69"/>
  <c r="BJ70"/>
  <c r="BJ71"/>
  <c r="BJ72"/>
  <c r="BJ73"/>
  <c r="BJ74"/>
  <c r="BJ75"/>
  <c r="BJ76"/>
  <c r="BJ77"/>
  <c r="BJ78"/>
  <c r="BJ79"/>
  <c r="BJ80"/>
  <c r="BJ81"/>
  <c r="BJ82"/>
  <c r="BJ83"/>
  <c r="BJ1"/>
  <c r="BI2"/>
  <c r="BI3"/>
  <c r="BI4"/>
  <c r="BI5"/>
  <c r="BI6"/>
  <c r="BI7"/>
  <c r="BI8"/>
  <c r="BI9"/>
  <c r="BI10"/>
  <c r="BI11"/>
  <c r="BI12"/>
  <c r="BI13"/>
  <c r="BI14"/>
  <c r="BI15"/>
  <c r="BI16"/>
  <c r="BI17"/>
  <c r="BI18"/>
  <c r="BI19"/>
  <c r="BI20"/>
  <c r="BI21"/>
  <c r="BI22"/>
  <c r="BI23"/>
  <c r="BI24"/>
  <c r="BI25"/>
  <c r="BI26"/>
  <c r="BI27"/>
  <c r="BI28"/>
  <c r="BI29"/>
  <c r="BI30"/>
  <c r="BI31"/>
  <c r="BI32"/>
  <c r="BI33"/>
  <c r="BI34"/>
  <c r="BI35"/>
  <c r="BI36"/>
  <c r="BI37"/>
  <c r="BI38"/>
  <c r="BI39"/>
  <c r="BI40"/>
  <c r="BI41"/>
  <c r="BI42"/>
  <c r="BI43"/>
  <c r="BI44"/>
  <c r="BI45"/>
  <c r="BI46"/>
  <c r="BI47"/>
  <c r="BI48"/>
  <c r="BI49"/>
  <c r="BI50"/>
  <c r="BI51"/>
  <c r="BI52"/>
  <c r="BI53"/>
  <c r="BI54"/>
  <c r="BI55"/>
  <c r="BI56"/>
  <c r="BI57"/>
  <c r="BI58"/>
  <c r="BI59"/>
  <c r="BI60"/>
  <c r="BI61"/>
  <c r="BI62"/>
  <c r="BI63"/>
  <c r="BI64"/>
  <c r="BI65"/>
  <c r="BI66"/>
  <c r="BI67"/>
  <c r="BI68"/>
  <c r="BI69"/>
  <c r="BI70"/>
  <c r="BI71"/>
  <c r="BI72"/>
  <c r="BI73"/>
  <c r="BI74"/>
  <c r="BI75"/>
  <c r="BI76"/>
  <c r="BI77"/>
  <c r="BI78"/>
  <c r="BI79"/>
  <c r="BI80"/>
  <c r="BI81"/>
  <c r="BI82"/>
  <c r="BI83"/>
  <c r="BI1"/>
  <c r="BH2"/>
  <c r="BH3"/>
  <c r="BH4"/>
  <c r="BH5"/>
  <c r="BH6"/>
  <c r="BH7"/>
  <c r="BH8"/>
  <c r="BH9"/>
  <c r="BH10"/>
  <c r="BH11"/>
  <c r="BH12"/>
  <c r="BH13"/>
  <c r="BH14"/>
  <c r="BH15"/>
  <c r="BH16"/>
  <c r="BH17"/>
  <c r="BH18"/>
  <c r="BH19"/>
  <c r="BH20"/>
  <c r="BH21"/>
  <c r="BH22"/>
  <c r="BH23"/>
  <c r="BH24"/>
  <c r="BH25"/>
  <c r="BH26"/>
  <c r="BH27"/>
  <c r="BH28"/>
  <c r="BH29"/>
  <c r="BH30"/>
  <c r="BH31"/>
  <c r="BH32"/>
  <c r="BH33"/>
  <c r="BH34"/>
  <c r="BH35"/>
  <c r="BH36"/>
  <c r="BH37"/>
  <c r="BH38"/>
  <c r="BH39"/>
  <c r="BH40"/>
  <c r="BH41"/>
  <c r="BH42"/>
  <c r="BH43"/>
  <c r="BH44"/>
  <c r="BH45"/>
  <c r="BH46"/>
  <c r="BH47"/>
  <c r="BH48"/>
  <c r="BH49"/>
  <c r="BH50"/>
  <c r="BH51"/>
  <c r="BH52"/>
  <c r="BH53"/>
  <c r="BH54"/>
  <c r="BH55"/>
  <c r="BH56"/>
  <c r="BH57"/>
  <c r="BH58"/>
  <c r="BH59"/>
  <c r="BH60"/>
  <c r="BH61"/>
  <c r="BH62"/>
  <c r="BH63"/>
  <c r="BH64"/>
  <c r="BH65"/>
  <c r="BH66"/>
  <c r="BH67"/>
  <c r="BH68"/>
  <c r="BH69"/>
  <c r="BH70"/>
  <c r="BH71"/>
  <c r="BH72"/>
  <c r="BH73"/>
  <c r="BH74"/>
  <c r="BH75"/>
  <c r="BH76"/>
  <c r="BH77"/>
  <c r="BH78"/>
  <c r="BH79"/>
  <c r="BH80"/>
  <c r="BH81"/>
  <c r="BH82"/>
  <c r="BH83"/>
  <c r="BH1"/>
  <c r="N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1"/>
  <c r="C14" i="12" l="1"/>
  <c r="C10"/>
  <c r="C9"/>
  <c r="C8"/>
  <c r="V22" i="2" l="1"/>
  <c r="V23"/>
  <c r="V24"/>
  <c r="W21"/>
  <c r="X21" s="1"/>
  <c r="C12" i="6" l="1"/>
  <c r="C13" i="9"/>
  <c r="C12" i="12"/>
  <c r="C12" i="14"/>
  <c r="C12" i="13"/>
  <c r="C12" i="4"/>
  <c r="C13" i="10"/>
  <c r="C13" i="18"/>
  <c r="C13" i="17"/>
  <c r="H12" i="9"/>
  <c r="H12" i="17"/>
  <c r="G12" i="18"/>
  <c r="G12" i="10"/>
  <c r="V11" i="2"/>
  <c r="V3"/>
  <c r="V13" l="1"/>
  <c r="V12"/>
  <c r="V4"/>
  <c r="X2"/>
  <c r="W2" s="1"/>
  <c r="X10"/>
  <c r="W10" s="1"/>
  <c r="V10" s="1"/>
  <c r="V5"/>
  <c r="G23" i="15" l="1"/>
  <c r="G23" i="16"/>
  <c r="G23" i="14"/>
  <c r="G23" i="13"/>
  <c r="C23" i="16"/>
  <c r="C23" i="15"/>
  <c r="C23" i="14"/>
  <c r="C23" i="13"/>
  <c r="V2" i="2"/>
  <c r="C23" i="5"/>
  <c r="C23" i="6"/>
  <c r="C24" i="12"/>
  <c r="C23" i="7"/>
  <c r="C23" i="4"/>
  <c r="V18" i="2"/>
  <c r="G24" i="12"/>
  <c r="V17" i="2"/>
  <c r="G22" i="18" l="1"/>
  <c r="H24" i="17"/>
  <c r="H13" i="9"/>
  <c r="G13" i="18"/>
  <c r="H13" i="17"/>
  <c r="G13" i="16"/>
  <c r="D22" i="18"/>
  <c r="C24" i="17"/>
  <c r="D22" i="10"/>
  <c r="C24" i="9"/>
  <c r="H24"/>
  <c r="G22" i="10"/>
  <c r="G13"/>
  <c r="AD6" i="3"/>
  <c r="AE6" s="1"/>
  <c r="AE5"/>
  <c r="AG6" l="1"/>
  <c r="AG7"/>
  <c r="G5"/>
  <c r="J5" s="1"/>
  <c r="C22" i="9" l="1"/>
  <c r="C22" i="17"/>
  <c r="K5" i="3"/>
  <c r="W1" i="2"/>
  <c r="G1" i="3" l="1"/>
  <c r="G8" i="6" l="1"/>
  <c r="C15" i="10" l="1"/>
  <c r="G14"/>
  <c r="G11"/>
  <c r="C11"/>
  <c r="C9"/>
  <c r="C21" i="12" l="1"/>
  <c r="C21" i="4"/>
  <c r="BB2" i="2"/>
  <c r="BB3"/>
  <c r="BB4"/>
  <c r="BB5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68"/>
  <c r="BB69"/>
  <c r="BB70"/>
  <c r="BB71"/>
  <c r="BB72"/>
  <c r="BB73"/>
  <c r="BB74"/>
  <c r="BB75"/>
  <c r="BB76"/>
  <c r="BB77"/>
  <c r="BB78"/>
  <c r="BB79"/>
  <c r="BB80"/>
  <c r="BB81"/>
  <c r="BB82"/>
  <c r="BB83"/>
  <c r="BB1"/>
  <c r="AW14" l="1"/>
  <c r="AX14"/>
  <c r="AY14"/>
  <c r="AZ14"/>
  <c r="BC14"/>
  <c r="BD14"/>
  <c r="BE14"/>
  <c r="BF14"/>
  <c r="AW15"/>
  <c r="AX15"/>
  <c r="AY15"/>
  <c r="AZ15"/>
  <c r="BC15"/>
  <c r="BD15"/>
  <c r="BE15"/>
  <c r="BF15"/>
  <c r="AW16"/>
  <c r="AX16"/>
  <c r="AY16"/>
  <c r="AZ16"/>
  <c r="BC16"/>
  <c r="BD16"/>
  <c r="BE16"/>
  <c r="BF16"/>
  <c r="AW17"/>
  <c r="AX17"/>
  <c r="AY17"/>
  <c r="AZ17"/>
  <c r="BC17"/>
  <c r="BD17"/>
  <c r="BE17"/>
  <c r="BF17"/>
  <c r="AW18"/>
  <c r="AX18"/>
  <c r="AY18"/>
  <c r="AZ18"/>
  <c r="BC18"/>
  <c r="BD18"/>
  <c r="BE18"/>
  <c r="BF18"/>
  <c r="AW19"/>
  <c r="AX19"/>
  <c r="AY19"/>
  <c r="AZ19"/>
  <c r="BC19"/>
  <c r="BD19"/>
  <c r="BE19"/>
  <c r="BF19"/>
  <c r="AW20"/>
  <c r="AX20"/>
  <c r="AY20"/>
  <c r="AZ20"/>
  <c r="BC20"/>
  <c r="BD20"/>
  <c r="BE20"/>
  <c r="BF20"/>
  <c r="AW21"/>
  <c r="AX21"/>
  <c r="AY21"/>
  <c r="AZ21"/>
  <c r="BC21"/>
  <c r="BD21"/>
  <c r="BE21"/>
  <c r="BF21"/>
  <c r="AW22"/>
  <c r="AX22"/>
  <c r="AY22"/>
  <c r="AZ22"/>
  <c r="BC22"/>
  <c r="BD22"/>
  <c r="BE22"/>
  <c r="BF22"/>
  <c r="AW23"/>
  <c r="AX23"/>
  <c r="AY23"/>
  <c r="AZ23"/>
  <c r="BC23"/>
  <c r="BD23"/>
  <c r="BE23"/>
  <c r="BF23"/>
  <c r="AW24"/>
  <c r="AX24"/>
  <c r="AY24"/>
  <c r="AZ24"/>
  <c r="BC24"/>
  <c r="BD24"/>
  <c r="BE24"/>
  <c r="BF24"/>
  <c r="AW25"/>
  <c r="AX25"/>
  <c r="AY25"/>
  <c r="AZ25"/>
  <c r="BC25"/>
  <c r="BD25"/>
  <c r="BE25"/>
  <c r="BF25"/>
  <c r="AW26"/>
  <c r="AX26"/>
  <c r="AY26"/>
  <c r="AZ26"/>
  <c r="BC26"/>
  <c r="BD26"/>
  <c r="BE26"/>
  <c r="BF26"/>
  <c r="AW27"/>
  <c r="AX27"/>
  <c r="AY27"/>
  <c r="AZ27"/>
  <c r="BC27"/>
  <c r="BD27"/>
  <c r="BE27"/>
  <c r="BF27"/>
  <c r="AW28"/>
  <c r="AX28"/>
  <c r="AY28"/>
  <c r="AZ28"/>
  <c r="BC28"/>
  <c r="BD28"/>
  <c r="BE28"/>
  <c r="BF28"/>
  <c r="AW29"/>
  <c r="AX29"/>
  <c r="AY29"/>
  <c r="AZ29"/>
  <c r="BC29"/>
  <c r="BD29"/>
  <c r="BE29"/>
  <c r="BF29"/>
  <c r="AW30"/>
  <c r="AX30"/>
  <c r="AY30"/>
  <c r="AZ30"/>
  <c r="BC30"/>
  <c r="BD30"/>
  <c r="BE30"/>
  <c r="BF30"/>
  <c r="AW31"/>
  <c r="AX31"/>
  <c r="AY31"/>
  <c r="AZ31"/>
  <c r="BC31"/>
  <c r="BD31"/>
  <c r="BE31"/>
  <c r="BF31"/>
  <c r="AW32"/>
  <c r="AX32"/>
  <c r="AY32"/>
  <c r="AZ32"/>
  <c r="BC32"/>
  <c r="BD32"/>
  <c r="BE32"/>
  <c r="BF32"/>
  <c r="AW33"/>
  <c r="AX33"/>
  <c r="AY33"/>
  <c r="AZ33"/>
  <c r="BC33"/>
  <c r="BD33"/>
  <c r="BE33"/>
  <c r="BF33"/>
  <c r="AW34"/>
  <c r="AX34"/>
  <c r="AY34"/>
  <c r="AZ34"/>
  <c r="BC34"/>
  <c r="BD34"/>
  <c r="BE34"/>
  <c r="BF34"/>
  <c r="AW35"/>
  <c r="AX35"/>
  <c r="AY35"/>
  <c r="AZ35"/>
  <c r="BC35"/>
  <c r="BD35"/>
  <c r="BE35"/>
  <c r="BF35"/>
  <c r="AW36"/>
  <c r="AX36"/>
  <c r="AY36"/>
  <c r="AZ36"/>
  <c r="BC36"/>
  <c r="BD36"/>
  <c r="BE36"/>
  <c r="BF36"/>
  <c r="AW37"/>
  <c r="AX37"/>
  <c r="AY37"/>
  <c r="AZ37"/>
  <c r="BC37"/>
  <c r="BD37"/>
  <c r="BE37"/>
  <c r="BF37"/>
  <c r="AW38"/>
  <c r="AX38"/>
  <c r="AY38"/>
  <c r="AZ38"/>
  <c r="BC38"/>
  <c r="BD38"/>
  <c r="BE38"/>
  <c r="BF38"/>
  <c r="AW39"/>
  <c r="AX39"/>
  <c r="AY39"/>
  <c r="AZ39"/>
  <c r="BC39"/>
  <c r="BD39"/>
  <c r="BE39"/>
  <c r="BF39"/>
  <c r="AW40"/>
  <c r="AX40"/>
  <c r="AY40"/>
  <c r="AZ40"/>
  <c r="BC40"/>
  <c r="BD40"/>
  <c r="BE40"/>
  <c r="BF40"/>
  <c r="AW41"/>
  <c r="AX41"/>
  <c r="AY41"/>
  <c r="AZ41"/>
  <c r="BC41"/>
  <c r="BD41"/>
  <c r="BE41"/>
  <c r="BF41"/>
  <c r="AW42"/>
  <c r="AX42"/>
  <c r="AY42"/>
  <c r="AZ42"/>
  <c r="BC42"/>
  <c r="BD42"/>
  <c r="BE42"/>
  <c r="BF42"/>
  <c r="AW43"/>
  <c r="AX43"/>
  <c r="AY43"/>
  <c r="AZ43"/>
  <c r="BC43"/>
  <c r="BD43"/>
  <c r="BE43"/>
  <c r="BF43"/>
  <c r="AW44"/>
  <c r="AX44"/>
  <c r="AY44"/>
  <c r="AZ44"/>
  <c r="BC44"/>
  <c r="BD44"/>
  <c r="BE44"/>
  <c r="BF44"/>
  <c r="AW45"/>
  <c r="AX45"/>
  <c r="AY45"/>
  <c r="AZ45"/>
  <c r="BC45"/>
  <c r="BD45"/>
  <c r="BE45"/>
  <c r="BF45"/>
  <c r="AW46"/>
  <c r="AX46"/>
  <c r="AY46"/>
  <c r="AZ46"/>
  <c r="BC46"/>
  <c r="BD46"/>
  <c r="BE46"/>
  <c r="BF46"/>
  <c r="AW47"/>
  <c r="AX47"/>
  <c r="AY47"/>
  <c r="AZ47"/>
  <c r="BC47"/>
  <c r="BD47"/>
  <c r="BE47"/>
  <c r="BF47"/>
  <c r="AW48"/>
  <c r="AX48"/>
  <c r="AY48"/>
  <c r="AZ48"/>
  <c r="BC48"/>
  <c r="BD48"/>
  <c r="BE48"/>
  <c r="BF48"/>
  <c r="AW49"/>
  <c r="AX49"/>
  <c r="AY49"/>
  <c r="AZ49"/>
  <c r="BC49"/>
  <c r="BD49"/>
  <c r="BE49"/>
  <c r="BF49"/>
  <c r="AW50"/>
  <c r="AX50"/>
  <c r="AY50"/>
  <c r="AZ50"/>
  <c r="BC50"/>
  <c r="BD50"/>
  <c r="BE50"/>
  <c r="BF50"/>
  <c r="AW51"/>
  <c r="AX51"/>
  <c r="AY51"/>
  <c r="AZ51"/>
  <c r="BC51"/>
  <c r="BD51"/>
  <c r="BE51"/>
  <c r="BF51"/>
  <c r="AW52"/>
  <c r="AX52"/>
  <c r="AY52"/>
  <c r="AZ52"/>
  <c r="BC52"/>
  <c r="BD52"/>
  <c r="BE52"/>
  <c r="BF52"/>
  <c r="AW53"/>
  <c r="AX53"/>
  <c r="AY53"/>
  <c r="AZ53"/>
  <c r="BC53"/>
  <c r="BD53"/>
  <c r="BE53"/>
  <c r="BF53"/>
  <c r="AW54"/>
  <c r="AX54"/>
  <c r="AY54"/>
  <c r="AZ54"/>
  <c r="BC54"/>
  <c r="BD54"/>
  <c r="BE54"/>
  <c r="BF54"/>
  <c r="AW55"/>
  <c r="AX55"/>
  <c r="AY55"/>
  <c r="AZ55"/>
  <c r="BC55"/>
  <c r="BD55"/>
  <c r="BE55"/>
  <c r="BF55"/>
  <c r="AW56"/>
  <c r="AX56"/>
  <c r="AY56"/>
  <c r="AZ56"/>
  <c r="BC56"/>
  <c r="BD56"/>
  <c r="BE56"/>
  <c r="BF56"/>
  <c r="AW57"/>
  <c r="AX57"/>
  <c r="AY57"/>
  <c r="AZ57"/>
  <c r="BC57"/>
  <c r="BD57"/>
  <c r="BE57"/>
  <c r="BF57"/>
  <c r="AW58"/>
  <c r="AX58"/>
  <c r="AY58"/>
  <c r="AZ58"/>
  <c r="BC58"/>
  <c r="BD58"/>
  <c r="BE58"/>
  <c r="BF58"/>
  <c r="AW59"/>
  <c r="AX59"/>
  <c r="AY59"/>
  <c r="AZ59"/>
  <c r="BC59"/>
  <c r="BD59"/>
  <c r="BE59"/>
  <c r="BF59"/>
  <c r="AW60"/>
  <c r="AX60"/>
  <c r="AY60"/>
  <c r="AZ60"/>
  <c r="BC60"/>
  <c r="BD60"/>
  <c r="BE60"/>
  <c r="BF60"/>
  <c r="AW61"/>
  <c r="AX61"/>
  <c r="AY61"/>
  <c r="AZ61"/>
  <c r="BC61"/>
  <c r="BD61"/>
  <c r="BE61"/>
  <c r="BF61"/>
  <c r="AW62"/>
  <c r="AX62"/>
  <c r="AY62"/>
  <c r="AZ62"/>
  <c r="BC62"/>
  <c r="BD62"/>
  <c r="BE62"/>
  <c r="BF62"/>
  <c r="AW63"/>
  <c r="AX63"/>
  <c r="AY63"/>
  <c r="AZ63"/>
  <c r="BC63"/>
  <c r="BD63"/>
  <c r="BE63"/>
  <c r="BF63"/>
  <c r="AW64"/>
  <c r="AX64"/>
  <c r="AY64"/>
  <c r="AZ64"/>
  <c r="BC64"/>
  <c r="BD64"/>
  <c r="BE64"/>
  <c r="BF64"/>
  <c r="AW65"/>
  <c r="AX65"/>
  <c r="AY65"/>
  <c r="AZ65"/>
  <c r="BC65"/>
  <c r="BD65"/>
  <c r="BE65"/>
  <c r="BF65"/>
  <c r="AW66"/>
  <c r="AX66"/>
  <c r="AY66"/>
  <c r="AZ66"/>
  <c r="BC66"/>
  <c r="BD66"/>
  <c r="BE66"/>
  <c r="BF66"/>
  <c r="AW67"/>
  <c r="AX67"/>
  <c r="AY67"/>
  <c r="AZ67"/>
  <c r="BC67"/>
  <c r="BD67"/>
  <c r="BE67"/>
  <c r="BF67"/>
  <c r="AW68"/>
  <c r="AX68"/>
  <c r="AY68"/>
  <c r="AZ68"/>
  <c r="BC68"/>
  <c r="BD68"/>
  <c r="BE68"/>
  <c r="BF68"/>
  <c r="AW69"/>
  <c r="AX69"/>
  <c r="AY69"/>
  <c r="AZ69"/>
  <c r="BC69"/>
  <c r="BD69"/>
  <c r="BE69"/>
  <c r="BF69"/>
  <c r="AW70"/>
  <c r="AX70"/>
  <c r="AY70"/>
  <c r="AZ70"/>
  <c r="BC70"/>
  <c r="BD70"/>
  <c r="BE70"/>
  <c r="BF70"/>
  <c r="AW71"/>
  <c r="AX71"/>
  <c r="AY71"/>
  <c r="AZ71"/>
  <c r="BC71"/>
  <c r="BD71"/>
  <c r="BE71"/>
  <c r="BF71"/>
  <c r="AW72"/>
  <c r="AX72"/>
  <c r="AY72"/>
  <c r="AZ72"/>
  <c r="BC72"/>
  <c r="BD72"/>
  <c r="BE72"/>
  <c r="BF72"/>
  <c r="AW73"/>
  <c r="AX73"/>
  <c r="AY73"/>
  <c r="AZ73"/>
  <c r="BC73"/>
  <c r="BD73"/>
  <c r="BE73"/>
  <c r="BF73"/>
  <c r="AW74"/>
  <c r="AX74"/>
  <c r="AY74"/>
  <c r="AZ74"/>
  <c r="BC74"/>
  <c r="BD74"/>
  <c r="BE74"/>
  <c r="BF74"/>
  <c r="AW75"/>
  <c r="AX75"/>
  <c r="AY75"/>
  <c r="AZ75"/>
  <c r="BC75"/>
  <c r="BD75"/>
  <c r="BE75"/>
  <c r="BF75"/>
  <c r="AW76"/>
  <c r="AX76"/>
  <c r="AY76"/>
  <c r="AZ76"/>
  <c r="BC76"/>
  <c r="BD76"/>
  <c r="BE76"/>
  <c r="BF76"/>
  <c r="AW77"/>
  <c r="AX77"/>
  <c r="AY77"/>
  <c r="AZ77"/>
  <c r="BC77"/>
  <c r="BD77"/>
  <c r="BE77"/>
  <c r="BF77"/>
  <c r="AW78"/>
  <c r="AX78"/>
  <c r="AY78"/>
  <c r="AZ78"/>
  <c r="BC78"/>
  <c r="BD78"/>
  <c r="BE78"/>
  <c r="BF78"/>
  <c r="AW79"/>
  <c r="AX79"/>
  <c r="AY79"/>
  <c r="AZ79"/>
  <c r="BC79"/>
  <c r="BD79"/>
  <c r="BE79"/>
  <c r="BF79"/>
  <c r="AW80"/>
  <c r="AX80"/>
  <c r="AY80"/>
  <c r="AZ80"/>
  <c r="BC80"/>
  <c r="BD80"/>
  <c r="BE80"/>
  <c r="BF80"/>
  <c r="AW81"/>
  <c r="AX81"/>
  <c r="AY81"/>
  <c r="AZ81"/>
  <c r="BC81"/>
  <c r="BD81"/>
  <c r="BE81"/>
  <c r="BF81"/>
  <c r="AW82"/>
  <c r="AX82"/>
  <c r="AY82"/>
  <c r="AZ82"/>
  <c r="BC82"/>
  <c r="BD82"/>
  <c r="BE82"/>
  <c r="BF82"/>
  <c r="AW83"/>
  <c r="AX83"/>
  <c r="AY83"/>
  <c r="AZ83"/>
  <c r="BC83"/>
  <c r="BD83"/>
  <c r="BE83"/>
  <c r="BF83"/>
  <c r="BL16"/>
  <c r="BM16"/>
  <c r="BL17"/>
  <c r="BM17"/>
  <c r="BL18"/>
  <c r="BM18"/>
  <c r="BL19"/>
  <c r="BM19"/>
  <c r="BL20"/>
  <c r="BM20"/>
  <c r="BL21"/>
  <c r="BM21"/>
  <c r="BL22"/>
  <c r="BM22"/>
  <c r="BL23"/>
  <c r="BM23"/>
  <c r="BL24"/>
  <c r="BM24"/>
  <c r="BL25"/>
  <c r="BM25"/>
  <c r="BL26"/>
  <c r="BM26"/>
  <c r="BL27"/>
  <c r="BM27"/>
  <c r="BL28"/>
  <c r="BM28"/>
  <c r="BL29"/>
  <c r="BM29"/>
  <c r="BL30"/>
  <c r="BM30"/>
  <c r="BL31"/>
  <c r="BM31"/>
  <c r="BL32"/>
  <c r="BM32"/>
  <c r="BL33"/>
  <c r="BM33"/>
  <c r="BL34"/>
  <c r="BM34"/>
  <c r="BL35"/>
  <c r="BM35"/>
  <c r="BL36"/>
  <c r="BM36"/>
  <c r="BL37"/>
  <c r="BM37"/>
  <c r="BL38"/>
  <c r="BM38"/>
  <c r="BL39"/>
  <c r="BM39"/>
  <c r="BL40"/>
  <c r="BM40"/>
  <c r="BL41"/>
  <c r="BM41"/>
  <c r="BL42"/>
  <c r="BM42"/>
  <c r="BL43"/>
  <c r="BM43"/>
  <c r="BL44"/>
  <c r="BM44"/>
  <c r="BL45"/>
  <c r="BM45"/>
  <c r="BL46"/>
  <c r="BM46"/>
  <c r="BL47"/>
  <c r="BM47"/>
  <c r="BL48"/>
  <c r="BM48"/>
  <c r="BL49"/>
  <c r="BM49"/>
  <c r="BL50"/>
  <c r="BM50"/>
  <c r="BL51"/>
  <c r="BM51"/>
  <c r="BL52"/>
  <c r="BM52"/>
  <c r="BL53"/>
  <c r="BM53"/>
  <c r="BL54"/>
  <c r="BM54"/>
  <c r="BL55"/>
  <c r="BM55"/>
  <c r="BL56"/>
  <c r="BM56"/>
  <c r="BL57"/>
  <c r="BM57"/>
  <c r="BL58"/>
  <c r="BM58"/>
  <c r="BL59"/>
  <c r="BM59"/>
  <c r="BL60"/>
  <c r="BM60"/>
  <c r="BL61"/>
  <c r="BM61"/>
  <c r="BL62"/>
  <c r="BM62"/>
  <c r="BL63"/>
  <c r="BM63"/>
  <c r="BL64"/>
  <c r="BM64"/>
  <c r="BL65"/>
  <c r="BM65"/>
  <c r="BL66"/>
  <c r="BM66"/>
  <c r="BL67"/>
  <c r="BM67"/>
  <c r="BL68"/>
  <c r="BM68"/>
  <c r="BL69"/>
  <c r="BM69"/>
  <c r="BL70"/>
  <c r="BM70"/>
  <c r="BL71"/>
  <c r="BM71"/>
  <c r="BL72"/>
  <c r="BM72"/>
  <c r="BL73"/>
  <c r="BM73"/>
  <c r="BL74"/>
  <c r="BM74"/>
  <c r="BL75"/>
  <c r="BM75"/>
  <c r="BL76"/>
  <c r="BM76"/>
  <c r="BL77"/>
  <c r="BM77"/>
  <c r="BL78"/>
  <c r="BM78"/>
  <c r="BL79"/>
  <c r="BM79"/>
  <c r="BL80"/>
  <c r="BM80"/>
  <c r="BL81"/>
  <c r="BM81"/>
  <c r="BL82"/>
  <c r="BM82"/>
  <c r="BL83"/>
  <c r="BM83"/>
  <c r="BL2"/>
  <c r="BM2"/>
  <c r="BL3"/>
  <c r="BM3"/>
  <c r="BL4"/>
  <c r="BM4"/>
  <c r="BL5"/>
  <c r="BM5"/>
  <c r="BL6"/>
  <c r="BM6"/>
  <c r="BL7"/>
  <c r="BM7"/>
  <c r="BL8"/>
  <c r="BM8"/>
  <c r="BL9"/>
  <c r="BM9"/>
  <c r="BL10"/>
  <c r="BM10"/>
  <c r="BL11"/>
  <c r="BM11"/>
  <c r="BL12"/>
  <c r="BM12"/>
  <c r="BL13"/>
  <c r="BM13"/>
  <c r="BL14"/>
  <c r="BM14"/>
  <c r="BL15"/>
  <c r="BM15"/>
  <c r="BM1"/>
  <c r="BL1"/>
  <c r="AW2"/>
  <c r="AX2"/>
  <c r="AY2"/>
  <c r="AZ2"/>
  <c r="BC2"/>
  <c r="BD2"/>
  <c r="BE2"/>
  <c r="BF2"/>
  <c r="AW3"/>
  <c r="AX3"/>
  <c r="AY3"/>
  <c r="AZ3"/>
  <c r="BC3"/>
  <c r="BD3"/>
  <c r="BE3"/>
  <c r="BF3"/>
  <c r="AW4"/>
  <c r="AX4"/>
  <c r="AY4"/>
  <c r="AZ4"/>
  <c r="BC4"/>
  <c r="BD4"/>
  <c r="BE4"/>
  <c r="BF4"/>
  <c r="AW5"/>
  <c r="AX5"/>
  <c r="AY5"/>
  <c r="AZ5"/>
  <c r="BC5"/>
  <c r="BD5"/>
  <c r="BE5"/>
  <c r="BF5"/>
  <c r="AW6"/>
  <c r="AX6"/>
  <c r="AY6"/>
  <c r="AZ6"/>
  <c r="BC6"/>
  <c r="BD6"/>
  <c r="BE6"/>
  <c r="BF6"/>
  <c r="AW7"/>
  <c r="AX7"/>
  <c r="AY7"/>
  <c r="AZ7"/>
  <c r="BC7"/>
  <c r="BD7"/>
  <c r="BE7"/>
  <c r="BF7"/>
  <c r="AW8"/>
  <c r="AX8"/>
  <c r="AY8"/>
  <c r="AZ8"/>
  <c r="BC8"/>
  <c r="BD8"/>
  <c r="BE8"/>
  <c r="BF8"/>
  <c r="AW9"/>
  <c r="AX9"/>
  <c r="AY9"/>
  <c r="AZ9"/>
  <c r="BC9"/>
  <c r="BD9"/>
  <c r="BE9"/>
  <c r="BF9"/>
  <c r="AW10"/>
  <c r="AX10"/>
  <c r="AY10"/>
  <c r="AZ10"/>
  <c r="BC10"/>
  <c r="BD10"/>
  <c r="BE10"/>
  <c r="BF10"/>
  <c r="AW11"/>
  <c r="AX11"/>
  <c r="AY11"/>
  <c r="AZ11"/>
  <c r="BC11"/>
  <c r="BD11"/>
  <c r="BE11"/>
  <c r="BF11"/>
  <c r="AW12"/>
  <c r="AX12"/>
  <c r="AY12"/>
  <c r="AZ12"/>
  <c r="BC12"/>
  <c r="BD12"/>
  <c r="BE12"/>
  <c r="BF12"/>
  <c r="AW13"/>
  <c r="AX13"/>
  <c r="AY13"/>
  <c r="AZ13"/>
  <c r="BC13"/>
  <c r="BD13"/>
  <c r="BE13"/>
  <c r="BF13"/>
  <c r="BF1"/>
  <c r="BE1"/>
  <c r="BD1"/>
  <c r="BC1"/>
  <c r="AZ1"/>
  <c r="AY1"/>
  <c r="AX1"/>
  <c r="AW1"/>
  <c r="W7" l="1"/>
  <c r="C15" i="9"/>
  <c r="C11"/>
  <c r="C9"/>
  <c r="C21" l="1"/>
  <c r="C21" i="17"/>
  <c r="C21" i="8"/>
  <c r="T2" i="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1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1"/>
  <c r="B21" i="11" l="1"/>
  <c r="D11"/>
  <c r="B15"/>
  <c r="B14"/>
  <c r="B12"/>
  <c r="C21" i="6" l="1"/>
  <c r="C21" i="5"/>
  <c r="C21" i="7"/>
  <c r="A1" i="2" l="1"/>
  <c r="B1"/>
  <c r="C1"/>
  <c r="D1"/>
  <c r="F1"/>
  <c r="G1"/>
  <c r="H1"/>
  <c r="I1"/>
  <c r="L1"/>
  <c r="M1"/>
  <c r="P1"/>
  <c r="Q1"/>
  <c r="R1"/>
  <c r="S1"/>
  <c r="A2"/>
  <c r="B2"/>
  <c r="C2"/>
  <c r="D2"/>
  <c r="F2"/>
  <c r="G2"/>
  <c r="H2"/>
  <c r="I2"/>
  <c r="L2"/>
  <c r="M2"/>
  <c r="P2"/>
  <c r="Q2"/>
  <c r="R2"/>
  <c r="S2"/>
  <c r="A3"/>
  <c r="B3"/>
  <c r="C3"/>
  <c r="D3"/>
  <c r="F3"/>
  <c r="G3"/>
  <c r="H3"/>
  <c r="I3"/>
  <c r="L3"/>
  <c r="M3"/>
  <c r="P3"/>
  <c r="Q3"/>
  <c r="R3"/>
  <c r="S3"/>
  <c r="A4"/>
  <c r="B4"/>
  <c r="C4"/>
  <c r="D4"/>
  <c r="F4"/>
  <c r="G4"/>
  <c r="H4"/>
  <c r="I4"/>
  <c r="L4"/>
  <c r="M4"/>
  <c r="P4"/>
  <c r="Q4"/>
  <c r="R4"/>
  <c r="S4"/>
  <c r="A5"/>
  <c r="B5"/>
  <c r="C5"/>
  <c r="D5"/>
  <c r="F5"/>
  <c r="G5"/>
  <c r="H5"/>
  <c r="I5"/>
  <c r="L5"/>
  <c r="M5"/>
  <c r="P5"/>
  <c r="Q5"/>
  <c r="R5"/>
  <c r="S5"/>
  <c r="A6"/>
  <c r="B6"/>
  <c r="C6"/>
  <c r="D6"/>
  <c r="F6"/>
  <c r="G6"/>
  <c r="H6"/>
  <c r="I6"/>
  <c r="L6"/>
  <c r="M6"/>
  <c r="P6"/>
  <c r="Q6"/>
  <c r="R6"/>
  <c r="S6"/>
  <c r="A7"/>
  <c r="B7"/>
  <c r="C7"/>
  <c r="D7"/>
  <c r="F7"/>
  <c r="G7"/>
  <c r="H7"/>
  <c r="I7"/>
  <c r="L7"/>
  <c r="M7"/>
  <c r="P7"/>
  <c r="Q7"/>
  <c r="R7"/>
  <c r="S7"/>
  <c r="A8"/>
  <c r="B8"/>
  <c r="C8"/>
  <c r="D8"/>
  <c r="F8"/>
  <c r="G8"/>
  <c r="H8"/>
  <c r="I8"/>
  <c r="L8"/>
  <c r="M8"/>
  <c r="P8"/>
  <c r="Q8"/>
  <c r="R8"/>
  <c r="S8"/>
  <c r="A9"/>
  <c r="B9"/>
  <c r="C9"/>
  <c r="D9"/>
  <c r="F9"/>
  <c r="G9"/>
  <c r="H9"/>
  <c r="I9"/>
  <c r="L9"/>
  <c r="M9"/>
  <c r="P9"/>
  <c r="Q9"/>
  <c r="R9"/>
  <c r="S9"/>
  <c r="A10"/>
  <c r="B10"/>
  <c r="C10"/>
  <c r="D10"/>
  <c r="F10"/>
  <c r="G10"/>
  <c r="H10"/>
  <c r="I10"/>
  <c r="L10"/>
  <c r="M10"/>
  <c r="P10"/>
  <c r="Q10"/>
  <c r="R10"/>
  <c r="S10"/>
  <c r="A11"/>
  <c r="B11"/>
  <c r="C11"/>
  <c r="D11"/>
  <c r="F11"/>
  <c r="G11"/>
  <c r="H11"/>
  <c r="I11"/>
  <c r="L11"/>
  <c r="M11"/>
  <c r="P11"/>
  <c r="Q11"/>
  <c r="R11"/>
  <c r="S11"/>
  <c r="A12"/>
  <c r="B12"/>
  <c r="C12"/>
  <c r="D12"/>
  <c r="F12"/>
  <c r="G12"/>
  <c r="H12"/>
  <c r="I12"/>
  <c r="L12"/>
  <c r="M12"/>
  <c r="P12"/>
  <c r="Q12"/>
  <c r="R12"/>
  <c r="S12"/>
  <c r="A13"/>
  <c r="B13"/>
  <c r="C13"/>
  <c r="D13"/>
  <c r="F13"/>
  <c r="G13"/>
  <c r="H13"/>
  <c r="I13"/>
  <c r="L13"/>
  <c r="M13"/>
  <c r="P13"/>
  <c r="Q13"/>
  <c r="R13"/>
  <c r="S13"/>
  <c r="A14"/>
  <c r="B14"/>
  <c r="C14"/>
  <c r="D14"/>
  <c r="F14"/>
  <c r="G14"/>
  <c r="H14"/>
  <c r="I14"/>
  <c r="L14"/>
  <c r="M14"/>
  <c r="P14"/>
  <c r="Q14"/>
  <c r="R14"/>
  <c r="S14"/>
  <c r="A15"/>
  <c r="B15"/>
  <c r="C15"/>
  <c r="D15"/>
  <c r="F15"/>
  <c r="G15"/>
  <c r="H15"/>
  <c r="I15"/>
  <c r="L15"/>
  <c r="M15"/>
  <c r="P15"/>
  <c r="Q15"/>
  <c r="R15"/>
  <c r="S15"/>
  <c r="A16"/>
  <c r="B16"/>
  <c r="C16"/>
  <c r="D16"/>
  <c r="F16"/>
  <c r="G16"/>
  <c r="H16"/>
  <c r="I16"/>
  <c r="L16"/>
  <c r="M16"/>
  <c r="P16"/>
  <c r="Q16"/>
  <c r="R16"/>
  <c r="S16"/>
  <c r="A17"/>
  <c r="B17"/>
  <c r="C17"/>
  <c r="D17"/>
  <c r="F17"/>
  <c r="G17"/>
  <c r="H17"/>
  <c r="I17"/>
  <c r="L17"/>
  <c r="M17"/>
  <c r="P17"/>
  <c r="Q17"/>
  <c r="R17"/>
  <c r="S17"/>
  <c r="A18"/>
  <c r="B18"/>
  <c r="C18"/>
  <c r="D18"/>
  <c r="F18"/>
  <c r="G18"/>
  <c r="H18"/>
  <c r="I18"/>
  <c r="L18"/>
  <c r="M18"/>
  <c r="P18"/>
  <c r="Q18"/>
  <c r="R18"/>
  <c r="S18"/>
  <c r="A19"/>
  <c r="B19"/>
  <c r="C19"/>
  <c r="D19"/>
  <c r="F19"/>
  <c r="G19"/>
  <c r="H19"/>
  <c r="I19"/>
  <c r="L19"/>
  <c r="M19"/>
  <c r="P19"/>
  <c r="Q19"/>
  <c r="R19"/>
  <c r="S19"/>
  <c r="A20"/>
  <c r="B20"/>
  <c r="C20"/>
  <c r="D20"/>
  <c r="F20"/>
  <c r="G20"/>
  <c r="H20"/>
  <c r="I20"/>
  <c r="L20"/>
  <c r="M20"/>
  <c r="P20"/>
  <c r="Q20"/>
  <c r="R20"/>
  <c r="S20"/>
  <c r="A21"/>
  <c r="B21"/>
  <c r="C21"/>
  <c r="D21"/>
  <c r="F21"/>
  <c r="G21"/>
  <c r="H21"/>
  <c r="I21"/>
  <c r="L21"/>
  <c r="M21"/>
  <c r="P21"/>
  <c r="Q21"/>
  <c r="R21"/>
  <c r="S21"/>
  <c r="A22"/>
  <c r="B22"/>
  <c r="C22"/>
  <c r="D22"/>
  <c r="F22"/>
  <c r="G22"/>
  <c r="H22"/>
  <c r="I22"/>
  <c r="L22"/>
  <c r="M22"/>
  <c r="P22"/>
  <c r="Q22"/>
  <c r="R22"/>
  <c r="S22"/>
  <c r="A23"/>
  <c r="B23"/>
  <c r="C23"/>
  <c r="D23"/>
  <c r="F23"/>
  <c r="G23"/>
  <c r="H23"/>
  <c r="I23"/>
  <c r="L23"/>
  <c r="M23"/>
  <c r="P23"/>
  <c r="Q23"/>
  <c r="R23"/>
  <c r="S23"/>
  <c r="A24"/>
  <c r="B24"/>
  <c r="C24"/>
  <c r="D24"/>
  <c r="F24"/>
  <c r="G24"/>
  <c r="H24"/>
  <c r="I24"/>
  <c r="L24"/>
  <c r="M24"/>
  <c r="P24"/>
  <c r="Q24"/>
  <c r="R24"/>
  <c r="S24"/>
  <c r="A25"/>
  <c r="B25"/>
  <c r="C25"/>
  <c r="D25"/>
  <c r="F25"/>
  <c r="G25"/>
  <c r="H25"/>
  <c r="I25"/>
  <c r="L25"/>
  <c r="M25"/>
  <c r="P25"/>
  <c r="Q25"/>
  <c r="R25"/>
  <c r="S25"/>
  <c r="A26"/>
  <c r="B26"/>
  <c r="C26"/>
  <c r="D26"/>
  <c r="F26"/>
  <c r="G26"/>
  <c r="H26"/>
  <c r="I26"/>
  <c r="L26"/>
  <c r="M26"/>
  <c r="P26"/>
  <c r="Q26"/>
  <c r="R26"/>
  <c r="S26"/>
  <c r="A27"/>
  <c r="B27"/>
  <c r="C27"/>
  <c r="D27"/>
  <c r="F27"/>
  <c r="G27"/>
  <c r="H27"/>
  <c r="I27"/>
  <c r="L27"/>
  <c r="M27"/>
  <c r="P27"/>
  <c r="Q27"/>
  <c r="R27"/>
  <c r="S27"/>
  <c r="A28"/>
  <c r="B28"/>
  <c r="C28"/>
  <c r="D28"/>
  <c r="F28"/>
  <c r="G28"/>
  <c r="H28"/>
  <c r="I28"/>
  <c r="L28"/>
  <c r="M28"/>
  <c r="P28"/>
  <c r="Q28"/>
  <c r="R28"/>
  <c r="S28"/>
  <c r="A29"/>
  <c r="B29"/>
  <c r="C29"/>
  <c r="D29"/>
  <c r="F29"/>
  <c r="G29"/>
  <c r="H29"/>
  <c r="I29"/>
  <c r="L29"/>
  <c r="M29"/>
  <c r="P29"/>
  <c r="Q29"/>
  <c r="R29"/>
  <c r="S29"/>
  <c r="A30"/>
  <c r="B30"/>
  <c r="C30"/>
  <c r="D30"/>
  <c r="F30"/>
  <c r="G30"/>
  <c r="H30"/>
  <c r="I30"/>
  <c r="L30"/>
  <c r="M30"/>
  <c r="P30"/>
  <c r="Q30"/>
  <c r="R30"/>
  <c r="S30"/>
  <c r="A31"/>
  <c r="B31"/>
  <c r="C31"/>
  <c r="D31"/>
  <c r="F31"/>
  <c r="G31"/>
  <c r="H31"/>
  <c r="I31"/>
  <c r="L31"/>
  <c r="M31"/>
  <c r="P31"/>
  <c r="Q31"/>
  <c r="R31"/>
  <c r="S31"/>
  <c r="A32"/>
  <c r="B32"/>
  <c r="C32"/>
  <c r="D32"/>
  <c r="F32"/>
  <c r="G32"/>
  <c r="H32"/>
  <c r="I32"/>
  <c r="L32"/>
  <c r="M32"/>
  <c r="P32"/>
  <c r="Q32"/>
  <c r="R32"/>
  <c r="S32"/>
  <c r="A33"/>
  <c r="B33"/>
  <c r="C33"/>
  <c r="D33"/>
  <c r="F33"/>
  <c r="G33"/>
  <c r="H33"/>
  <c r="I33"/>
  <c r="L33"/>
  <c r="M33"/>
  <c r="P33"/>
  <c r="Q33"/>
  <c r="R33"/>
  <c r="S33"/>
  <c r="A34"/>
  <c r="B34"/>
  <c r="C34"/>
  <c r="D34"/>
  <c r="F34"/>
  <c r="G34"/>
  <c r="H34"/>
  <c r="I34"/>
  <c r="L34"/>
  <c r="M34"/>
  <c r="P34"/>
  <c r="Q34"/>
  <c r="R34"/>
  <c r="S34"/>
  <c r="A35"/>
  <c r="B35"/>
  <c r="C35"/>
  <c r="D35"/>
  <c r="F35"/>
  <c r="G35"/>
  <c r="H35"/>
  <c r="I35"/>
  <c r="L35"/>
  <c r="M35"/>
  <c r="P35"/>
  <c r="Q35"/>
  <c r="R35"/>
  <c r="S35"/>
  <c r="A36"/>
  <c r="B36"/>
  <c r="C36"/>
  <c r="D36"/>
  <c r="F36"/>
  <c r="G36"/>
  <c r="H36"/>
  <c r="I36"/>
  <c r="L36"/>
  <c r="M36"/>
  <c r="P36"/>
  <c r="Q36"/>
  <c r="R36"/>
  <c r="S36"/>
  <c r="A37"/>
  <c r="B37"/>
  <c r="C37"/>
  <c r="D37"/>
  <c r="F37"/>
  <c r="G37"/>
  <c r="H37"/>
  <c r="I37"/>
  <c r="L37"/>
  <c r="M37"/>
  <c r="P37"/>
  <c r="Q37"/>
  <c r="R37"/>
  <c r="S37"/>
  <c r="A38"/>
  <c r="B38"/>
  <c r="C38"/>
  <c r="D38"/>
  <c r="F38"/>
  <c r="G38"/>
  <c r="H38"/>
  <c r="I38"/>
  <c r="L38"/>
  <c r="M38"/>
  <c r="P38"/>
  <c r="Q38"/>
  <c r="R38"/>
  <c r="S38"/>
  <c r="A39"/>
  <c r="B39"/>
  <c r="C39"/>
  <c r="D39"/>
  <c r="F39"/>
  <c r="G39"/>
  <c r="H39"/>
  <c r="I39"/>
  <c r="L39"/>
  <c r="M39"/>
  <c r="P39"/>
  <c r="Q39"/>
  <c r="R39"/>
  <c r="S39"/>
  <c r="A40"/>
  <c r="B40"/>
  <c r="C40"/>
  <c r="D40"/>
  <c r="F40"/>
  <c r="G40"/>
  <c r="H40"/>
  <c r="I40"/>
  <c r="L40"/>
  <c r="M40"/>
  <c r="P40"/>
  <c r="Q40"/>
  <c r="R40"/>
  <c r="S40"/>
  <c r="A41"/>
  <c r="B41"/>
  <c r="C41"/>
  <c r="D41"/>
  <c r="F41"/>
  <c r="G41"/>
  <c r="H41"/>
  <c r="I41"/>
  <c r="L41"/>
  <c r="M41"/>
  <c r="P41"/>
  <c r="Q41"/>
  <c r="R41"/>
  <c r="S41"/>
  <c r="A42"/>
  <c r="B42"/>
  <c r="C42"/>
  <c r="D42"/>
  <c r="F42"/>
  <c r="G42"/>
  <c r="H42"/>
  <c r="I42"/>
  <c r="L42"/>
  <c r="M42"/>
  <c r="P42"/>
  <c r="Q42"/>
  <c r="R42"/>
  <c r="S42"/>
  <c r="A43"/>
  <c r="B43"/>
  <c r="C43"/>
  <c r="D43"/>
  <c r="F43"/>
  <c r="G43"/>
  <c r="H43"/>
  <c r="I43"/>
  <c r="L43"/>
  <c r="M43"/>
  <c r="P43"/>
  <c r="Q43"/>
  <c r="R43"/>
  <c r="S43"/>
  <c r="A44"/>
  <c r="B44"/>
  <c r="C44"/>
  <c r="D44"/>
  <c r="F44"/>
  <c r="G44"/>
  <c r="H44"/>
  <c r="I44"/>
  <c r="L44"/>
  <c r="M44"/>
  <c r="P44"/>
  <c r="Q44"/>
  <c r="R44"/>
  <c r="S44"/>
  <c r="A45"/>
  <c r="B45"/>
  <c r="C45"/>
  <c r="D45"/>
  <c r="F45"/>
  <c r="G45"/>
  <c r="H45"/>
  <c r="I45"/>
  <c r="L45"/>
  <c r="M45"/>
  <c r="P45"/>
  <c r="Q45"/>
  <c r="R45"/>
  <c r="S45"/>
  <c r="A46"/>
  <c r="B46"/>
  <c r="C46"/>
  <c r="D46"/>
  <c r="F46"/>
  <c r="G46"/>
  <c r="H46"/>
  <c r="I46"/>
  <c r="L46"/>
  <c r="M46"/>
  <c r="P46"/>
  <c r="Q46"/>
  <c r="R46"/>
  <c r="S46"/>
  <c r="A47"/>
  <c r="B47"/>
  <c r="C47"/>
  <c r="D47"/>
  <c r="F47"/>
  <c r="G47"/>
  <c r="H47"/>
  <c r="I47"/>
  <c r="L47"/>
  <c r="M47"/>
  <c r="P47"/>
  <c r="Q47"/>
  <c r="R47"/>
  <c r="S47"/>
  <c r="A48"/>
  <c r="B48"/>
  <c r="C48"/>
  <c r="D48"/>
  <c r="F48"/>
  <c r="G48"/>
  <c r="H48"/>
  <c r="I48"/>
  <c r="L48"/>
  <c r="M48"/>
  <c r="P48"/>
  <c r="Q48"/>
  <c r="R48"/>
  <c r="S48"/>
  <c r="A49"/>
  <c r="B49"/>
  <c r="C49"/>
  <c r="D49"/>
  <c r="F49"/>
  <c r="G49"/>
  <c r="H49"/>
  <c r="I49"/>
  <c r="L49"/>
  <c r="M49"/>
  <c r="P49"/>
  <c r="Q49"/>
  <c r="R49"/>
  <c r="S49"/>
  <c r="A50"/>
  <c r="B50"/>
  <c r="C50"/>
  <c r="D50"/>
  <c r="F50"/>
  <c r="G50"/>
  <c r="H50"/>
  <c r="I50"/>
  <c r="L50"/>
  <c r="M50"/>
  <c r="P50"/>
  <c r="Q50"/>
  <c r="R50"/>
  <c r="S50"/>
  <c r="A51"/>
  <c r="B51"/>
  <c r="C51"/>
  <c r="D51"/>
  <c r="F51"/>
  <c r="G51"/>
  <c r="H51"/>
  <c r="I51"/>
  <c r="L51"/>
  <c r="M51"/>
  <c r="P51"/>
  <c r="Q51"/>
  <c r="R51"/>
  <c r="S51"/>
  <c r="A52"/>
  <c r="B52"/>
  <c r="C52"/>
  <c r="D52"/>
  <c r="F52"/>
  <c r="G52"/>
  <c r="H52"/>
  <c r="I52"/>
  <c r="L52"/>
  <c r="M52"/>
  <c r="P52"/>
  <c r="Q52"/>
  <c r="R52"/>
  <c r="S52"/>
  <c r="A53"/>
  <c r="B53"/>
  <c r="C53"/>
  <c r="D53"/>
  <c r="F53"/>
  <c r="G53"/>
  <c r="H53"/>
  <c r="I53"/>
  <c r="L53"/>
  <c r="M53"/>
  <c r="P53"/>
  <c r="Q53"/>
  <c r="R53"/>
  <c r="S53"/>
  <c r="A54"/>
  <c r="B54"/>
  <c r="C54"/>
  <c r="D54"/>
  <c r="F54"/>
  <c r="G54"/>
  <c r="H54"/>
  <c r="I54"/>
  <c r="L54"/>
  <c r="M54"/>
  <c r="P54"/>
  <c r="Q54"/>
  <c r="R54"/>
  <c r="S54"/>
  <c r="A55"/>
  <c r="B55"/>
  <c r="C55"/>
  <c r="D55"/>
  <c r="F55"/>
  <c r="G55"/>
  <c r="H55"/>
  <c r="I55"/>
  <c r="L55"/>
  <c r="M55"/>
  <c r="P55"/>
  <c r="Q55"/>
  <c r="R55"/>
  <c r="S55"/>
  <c r="A56"/>
  <c r="B56"/>
  <c r="C56"/>
  <c r="D56"/>
  <c r="F56"/>
  <c r="G56"/>
  <c r="H56"/>
  <c r="I56"/>
  <c r="L56"/>
  <c r="M56"/>
  <c r="P56"/>
  <c r="Q56"/>
  <c r="R56"/>
  <c r="S56"/>
  <c r="A57"/>
  <c r="B57"/>
  <c r="C57"/>
  <c r="D57"/>
  <c r="F57"/>
  <c r="G57"/>
  <c r="H57"/>
  <c r="I57"/>
  <c r="L57"/>
  <c r="M57"/>
  <c r="P57"/>
  <c r="Q57"/>
  <c r="R57"/>
  <c r="S57"/>
  <c r="A58"/>
  <c r="B58"/>
  <c r="C58"/>
  <c r="D58"/>
  <c r="F58"/>
  <c r="G58"/>
  <c r="H58"/>
  <c r="I58"/>
  <c r="L58"/>
  <c r="M58"/>
  <c r="P58"/>
  <c r="Q58"/>
  <c r="R58"/>
  <c r="S58"/>
  <c r="A59"/>
  <c r="B59"/>
  <c r="C59"/>
  <c r="D59"/>
  <c r="F59"/>
  <c r="G59"/>
  <c r="H59"/>
  <c r="I59"/>
  <c r="L59"/>
  <c r="M59"/>
  <c r="P59"/>
  <c r="Q59"/>
  <c r="R59"/>
  <c r="S59"/>
  <c r="A60"/>
  <c r="B60"/>
  <c r="C60"/>
  <c r="D60"/>
  <c r="F60"/>
  <c r="G60"/>
  <c r="H60"/>
  <c r="I60"/>
  <c r="L60"/>
  <c r="M60"/>
  <c r="P60"/>
  <c r="Q60"/>
  <c r="R60"/>
  <c r="S60"/>
  <c r="A61"/>
  <c r="B61"/>
  <c r="C61"/>
  <c r="D61"/>
  <c r="F61"/>
  <c r="G61"/>
  <c r="H61"/>
  <c r="I61"/>
  <c r="L61"/>
  <c r="M61"/>
  <c r="P61"/>
  <c r="Q61"/>
  <c r="R61"/>
  <c r="S61"/>
  <c r="A62"/>
  <c r="B62"/>
  <c r="C62"/>
  <c r="D62"/>
  <c r="F62"/>
  <c r="G62"/>
  <c r="H62"/>
  <c r="I62"/>
  <c r="L62"/>
  <c r="M62"/>
  <c r="P62"/>
  <c r="Q62"/>
  <c r="R62"/>
  <c r="S62"/>
  <c r="A63"/>
  <c r="B63"/>
  <c r="C63"/>
  <c r="D63"/>
  <c r="F63"/>
  <c r="G63"/>
  <c r="H63"/>
  <c r="I63"/>
  <c r="L63"/>
  <c r="M63"/>
  <c r="P63"/>
  <c r="Q63"/>
  <c r="R63"/>
  <c r="S63"/>
  <c r="A64"/>
  <c r="B64"/>
  <c r="C64"/>
  <c r="D64"/>
  <c r="F64"/>
  <c r="G64"/>
  <c r="H64"/>
  <c r="I64"/>
  <c r="L64"/>
  <c r="M64"/>
  <c r="P64"/>
  <c r="Q64"/>
  <c r="R64"/>
  <c r="S64"/>
  <c r="A65"/>
  <c r="B65"/>
  <c r="C65"/>
  <c r="D65"/>
  <c r="F65"/>
  <c r="G65"/>
  <c r="H65"/>
  <c r="I65"/>
  <c r="L65"/>
  <c r="M65"/>
  <c r="P65"/>
  <c r="Q65"/>
  <c r="R65"/>
  <c r="S65"/>
  <c r="A66"/>
  <c r="B66"/>
  <c r="C66"/>
  <c r="D66"/>
  <c r="F66"/>
  <c r="G66"/>
  <c r="H66"/>
  <c r="I66"/>
  <c r="L66"/>
  <c r="M66"/>
  <c r="P66"/>
  <c r="Q66"/>
  <c r="R66"/>
  <c r="S66"/>
  <c r="A67"/>
  <c r="B67"/>
  <c r="C67"/>
  <c r="D67"/>
  <c r="F67"/>
  <c r="G67"/>
  <c r="H67"/>
  <c r="I67"/>
  <c r="L67"/>
  <c r="M67"/>
  <c r="P67"/>
  <c r="Q67"/>
  <c r="R67"/>
  <c r="S67"/>
  <c r="A68"/>
  <c r="B68"/>
  <c r="C68"/>
  <c r="D68"/>
  <c r="F68"/>
  <c r="G68"/>
  <c r="H68"/>
  <c r="I68"/>
  <c r="L68"/>
  <c r="M68"/>
  <c r="P68"/>
  <c r="Q68"/>
  <c r="R68"/>
  <c r="S68"/>
  <c r="A69"/>
  <c r="B69"/>
  <c r="C69"/>
  <c r="D69"/>
  <c r="F69"/>
  <c r="G69"/>
  <c r="H69"/>
  <c r="I69"/>
  <c r="L69"/>
  <c r="M69"/>
  <c r="P69"/>
  <c r="Q69"/>
  <c r="R69"/>
  <c r="S69"/>
  <c r="A70"/>
  <c r="B70"/>
  <c r="C70"/>
  <c r="D70"/>
  <c r="F70"/>
  <c r="G70"/>
  <c r="H70"/>
  <c r="I70"/>
  <c r="L70"/>
  <c r="M70"/>
  <c r="P70"/>
  <c r="Q70"/>
  <c r="R70"/>
  <c r="S70"/>
  <c r="A71"/>
  <c r="B71"/>
  <c r="C71"/>
  <c r="D71"/>
  <c r="F71"/>
  <c r="G71"/>
  <c r="H71"/>
  <c r="I71"/>
  <c r="L71"/>
  <c r="M71"/>
  <c r="P71"/>
  <c r="Q71"/>
  <c r="R71"/>
  <c r="S71"/>
  <c r="A72"/>
  <c r="B72"/>
  <c r="C72"/>
  <c r="D72"/>
  <c r="F72"/>
  <c r="G72"/>
  <c r="H72"/>
  <c r="I72"/>
  <c r="L72"/>
  <c r="M72"/>
  <c r="P72"/>
  <c r="Q72"/>
  <c r="R72"/>
  <c r="S72"/>
  <c r="A73"/>
  <c r="B73"/>
  <c r="C73"/>
  <c r="D73"/>
  <c r="F73"/>
  <c r="G73"/>
  <c r="H73"/>
  <c r="I73"/>
  <c r="L73"/>
  <c r="M73"/>
  <c r="P73"/>
  <c r="Q73"/>
  <c r="R73"/>
  <c r="S73"/>
  <c r="A74"/>
  <c r="B74"/>
  <c r="C74"/>
  <c r="D74"/>
  <c r="F74"/>
  <c r="G74"/>
  <c r="H74"/>
  <c r="I74"/>
  <c r="L74"/>
  <c r="M74"/>
  <c r="P74"/>
  <c r="Q74"/>
  <c r="R74"/>
  <c r="S74"/>
  <c r="A75"/>
  <c r="B75"/>
  <c r="C75"/>
  <c r="D75"/>
  <c r="F75"/>
  <c r="G75"/>
  <c r="H75"/>
  <c r="I75"/>
  <c r="L75"/>
  <c r="M75"/>
  <c r="P75"/>
  <c r="Q75"/>
  <c r="R75"/>
  <c r="S75"/>
  <c r="A76"/>
  <c r="B76"/>
  <c r="C76"/>
  <c r="D76"/>
  <c r="F76"/>
  <c r="G76"/>
  <c r="H76"/>
  <c r="I76"/>
  <c r="L76"/>
  <c r="M76"/>
  <c r="P76"/>
  <c r="Q76"/>
  <c r="R76"/>
  <c r="S76"/>
  <c r="A77"/>
  <c r="B77"/>
  <c r="C77"/>
  <c r="D77"/>
  <c r="F77"/>
  <c r="G77"/>
  <c r="H77"/>
  <c r="I77"/>
  <c r="L77"/>
  <c r="M77"/>
  <c r="P77"/>
  <c r="Q77"/>
  <c r="R77"/>
  <c r="S77"/>
  <c r="A78"/>
  <c r="B78"/>
  <c r="C78"/>
  <c r="D78"/>
  <c r="F78"/>
  <c r="G78"/>
  <c r="H78"/>
  <c r="I78"/>
  <c r="L78"/>
  <c r="M78"/>
  <c r="P78"/>
  <c r="Q78"/>
  <c r="R78"/>
  <c r="S78"/>
  <c r="A79"/>
  <c r="B79"/>
  <c r="C79"/>
  <c r="D79"/>
  <c r="F79"/>
  <c r="G79"/>
  <c r="H79"/>
  <c r="I79"/>
  <c r="L79"/>
  <c r="M79"/>
  <c r="P79"/>
  <c r="Q79"/>
  <c r="R79"/>
  <c r="S79"/>
  <c r="A80"/>
  <c r="B80"/>
  <c r="C80"/>
  <c r="D80"/>
  <c r="F80"/>
  <c r="G80"/>
  <c r="H80"/>
  <c r="I80"/>
  <c r="L80"/>
  <c r="M80"/>
  <c r="P80"/>
  <c r="Q80"/>
  <c r="R80"/>
  <c r="S80"/>
  <c r="A81"/>
  <c r="B81"/>
  <c r="C81"/>
  <c r="D81"/>
  <c r="F81"/>
  <c r="G81"/>
  <c r="H81"/>
  <c r="I81"/>
  <c r="L81"/>
  <c r="M81"/>
  <c r="P81"/>
  <c r="Q81"/>
  <c r="R81"/>
  <c r="S81"/>
  <c r="A82"/>
  <c r="B82"/>
  <c r="C82"/>
  <c r="D82"/>
  <c r="F82"/>
  <c r="G82"/>
  <c r="H82"/>
  <c r="I82"/>
  <c r="L82"/>
  <c r="M82"/>
  <c r="P82"/>
  <c r="Q82"/>
  <c r="R82"/>
  <c r="S82"/>
  <c r="A83"/>
  <c r="B83"/>
  <c r="C83"/>
  <c r="D83"/>
  <c r="F83"/>
  <c r="G83"/>
  <c r="H83"/>
  <c r="I83"/>
  <c r="L83"/>
  <c r="M83"/>
  <c r="P83"/>
  <c r="Q83"/>
  <c r="R83"/>
  <c r="S83"/>
  <c r="G13" i="5" l="1"/>
  <c r="G12"/>
  <c r="G9"/>
  <c r="G12" i="8" l="1"/>
  <c r="G10"/>
  <c r="C13" s="1"/>
  <c r="C14"/>
  <c r="G12" i="7"/>
  <c r="G9"/>
  <c r="C14"/>
  <c r="G14" i="6"/>
  <c r="G11"/>
  <c r="G10"/>
  <c r="C14"/>
  <c r="C10"/>
  <c r="C9"/>
  <c r="C8"/>
  <c r="C14" i="5"/>
  <c r="C11"/>
  <c r="C10"/>
  <c r="C9"/>
  <c r="G13" i="4"/>
  <c r="H8" i="3" l="1"/>
  <c r="G8"/>
  <c r="K7"/>
  <c r="V1" i="2"/>
  <c r="J8" i="3" l="1"/>
  <c r="K8"/>
  <c r="C13" i="12"/>
  <c r="C13" i="4"/>
  <c r="C14" i="9"/>
  <c r="C14" i="10"/>
  <c r="G23" i="4"/>
  <c r="C13" i="5"/>
  <c r="C13" i="6"/>
  <c r="G23" i="5"/>
  <c r="G23" i="6"/>
  <c r="G23" i="7"/>
  <c r="K6" i="3" l="1"/>
  <c r="L6" s="1"/>
  <c r="G11" i="5"/>
  <c r="D14" i="11"/>
  <c r="L5" i="3"/>
  <c r="M5" s="1"/>
  <c r="O5" s="1"/>
  <c r="G13" i="8"/>
  <c r="G13" i="7"/>
  <c r="S6" i="3" l="1"/>
  <c r="O6"/>
  <c r="M6"/>
  <c r="R6"/>
  <c r="L7"/>
  <c r="M7" s="1"/>
  <c r="O7" s="1"/>
  <c r="P5"/>
  <c r="L8"/>
  <c r="M8" s="1"/>
  <c r="O8" s="1"/>
  <c r="C22" i="6" l="1"/>
  <c r="C22" i="14"/>
  <c r="R7" i="3"/>
  <c r="S7" s="1"/>
  <c r="C22" i="8" s="1"/>
  <c r="R8" i="3"/>
  <c r="S8" s="1"/>
  <c r="C22" i="15" l="1"/>
  <c r="C22" i="13"/>
  <c r="C22" i="16"/>
  <c r="C22" i="4"/>
  <c r="C22" i="5"/>
  <c r="C22" i="7"/>
  <c r="C22" i="12"/>
</calcChain>
</file>

<file path=xl/sharedStrings.xml><?xml version="1.0" encoding="utf-8"?>
<sst xmlns="http://schemas.openxmlformats.org/spreadsheetml/2006/main" count="1095" uniqueCount="307">
  <si>
    <t>检验批数据</t>
  </si>
  <si>
    <t>物料主数据</t>
  </si>
  <si>
    <t>批次数据</t>
  </si>
  <si>
    <t>检验批号</t>
  </si>
  <si>
    <t>标准名称</t>
  </si>
  <si>
    <t>生产日期</t>
  </si>
  <si>
    <t>批次号</t>
  </si>
  <si>
    <t>包装规格</t>
  </si>
  <si>
    <t>成品打印批号（批次特性）</t>
  </si>
  <si>
    <t>实际批量</t>
  </si>
  <si>
    <t>原辅包长批号（批次特性）</t>
  </si>
  <si>
    <t>批量单位</t>
  </si>
  <si>
    <t>有效期</t>
  </si>
  <si>
    <t>使用决策</t>
  </si>
  <si>
    <t>有效期单位</t>
  </si>
  <si>
    <t>物料代码</t>
  </si>
  <si>
    <t>客户检索项</t>
  </si>
  <si>
    <t>供应商（代码）</t>
  </si>
  <si>
    <t>客户物料代码</t>
  </si>
  <si>
    <t>供应商（名称）</t>
  </si>
  <si>
    <t/>
  </si>
  <si>
    <t>存储条件（文本）</t>
  </si>
  <si>
    <t>S码信息</t>
  </si>
  <si>
    <t>物料类型</t>
  </si>
  <si>
    <t>S码批号</t>
  </si>
  <si>
    <t>物料描述</t>
  </si>
  <si>
    <t>流程订单</t>
  </si>
  <si>
    <t>检验计划数据</t>
  </si>
  <si>
    <t>检验计划描述</t>
  </si>
  <si>
    <t>样本信息</t>
  </si>
  <si>
    <t>样本确认时间</t>
  </si>
  <si>
    <t>接检样本数量</t>
  </si>
  <si>
    <t>接检样本单位</t>
  </si>
  <si>
    <t>采样图表编号</t>
  </si>
  <si>
    <t>S码检验结果（仅已检特性）</t>
  </si>
  <si>
    <t>检验特性（未检）[QAMV中其他的检验特性]仅S码</t>
  </si>
  <si>
    <t>明胶检验结果</t>
  </si>
  <si>
    <t>主检验特性编码</t>
  </si>
  <si>
    <t>检验特性名称</t>
  </si>
  <si>
    <t>规定标准</t>
  </si>
  <si>
    <t>检验结果</t>
  </si>
  <si>
    <t>检验结果单位</t>
  </si>
  <si>
    <t>内控标准</t>
  </si>
  <si>
    <t>评估结果</t>
  </si>
  <si>
    <t>检验方法</t>
  </si>
  <si>
    <t>检验方法版本</t>
  </si>
  <si>
    <t>是否打印</t>
  </si>
  <si>
    <t>岗位</t>
  </si>
  <si>
    <t>工作中心</t>
  </si>
  <si>
    <t>审核人</t>
  </si>
  <si>
    <t>批准人</t>
  </si>
  <si>
    <t>批准时间</t>
  </si>
  <si>
    <t>英文名称</t>
  </si>
  <si>
    <t>英文规格标准</t>
  </si>
  <si>
    <t>英文检验方法</t>
  </si>
  <si>
    <t>有效期单位</t>
    <phoneticPr fontId="3" type="noConversion"/>
  </si>
  <si>
    <t>报告日期</t>
    <phoneticPr fontId="3" type="noConversion"/>
  </si>
  <si>
    <t>签名索引</t>
    <phoneticPr fontId="3" type="noConversion"/>
  </si>
  <si>
    <t>审批人</t>
    <phoneticPr fontId="3" type="noConversion"/>
  </si>
  <si>
    <t>批准人</t>
    <phoneticPr fontId="3" type="noConversion"/>
  </si>
  <si>
    <t>备注栏</t>
  </si>
  <si>
    <t>条目</t>
  </si>
  <si>
    <t>字段1</t>
  </si>
  <si>
    <t>字段2</t>
  </si>
  <si>
    <t>字段3</t>
  </si>
  <si>
    <t>字段4</t>
  </si>
  <si>
    <t>字段5</t>
  </si>
  <si>
    <t>变量1</t>
  </si>
  <si>
    <t>变量2</t>
  </si>
  <si>
    <t>结果</t>
  </si>
  <si>
    <t>flag</t>
  </si>
  <si>
    <t>备注条目</t>
  </si>
  <si>
    <t>固定备注</t>
  </si>
  <si>
    <t>明胶</t>
  </si>
  <si>
    <t>）铬检测结果为</t>
    <phoneticPr fontId="6" type="noConversion"/>
  </si>
  <si>
    <t>溶血链球菌</t>
  </si>
  <si>
    <t>外检</t>
  </si>
  <si>
    <t>工艺批次</t>
  </si>
  <si>
    <t xml:space="preserve">带“＊”的检测项目数据来源于工艺批次： </t>
  </si>
  <si>
    <t>（样品编号：</t>
  </si>
  <si>
    <t xml:space="preserve">) 的检测结果。
</t>
    <phoneticPr fontId="6" type="noConversion"/>
  </si>
  <si>
    <t>项目：溶血链球菌</t>
  </si>
  <si>
    <t>样品名称</t>
    <phoneticPr fontId="6" type="noConversion"/>
  </si>
  <si>
    <t>规       格</t>
    <phoneticPr fontId="6" type="noConversion"/>
  </si>
  <si>
    <t>包装规格</t>
    <phoneticPr fontId="6" type="noConversion"/>
  </si>
  <si>
    <t>样品数量</t>
    <phoneticPr fontId="6" type="noConversion"/>
  </si>
  <si>
    <t>接检日期</t>
    <phoneticPr fontId="6" type="noConversion"/>
  </si>
  <si>
    <t>产品有效期</t>
    <phoneticPr fontId="6" type="noConversion"/>
  </si>
  <si>
    <t>产品标准</t>
    <phoneticPr fontId="6" type="noConversion"/>
  </si>
  <si>
    <t>检验结果</t>
    <phoneticPr fontId="6" type="noConversion"/>
  </si>
  <si>
    <t xml:space="preserve">      </t>
    <phoneticPr fontId="6" type="noConversion"/>
  </si>
  <si>
    <t>检验项目</t>
    <phoneticPr fontId="6" type="noConversion"/>
  </si>
  <si>
    <t>结  论：</t>
    <phoneticPr fontId="6" type="noConversion"/>
  </si>
  <si>
    <t>备  注：</t>
    <phoneticPr fontId="6" type="noConversion"/>
  </si>
  <si>
    <t xml:space="preserve"> 仙乐健康科技股份有限公司检验中心</t>
    <phoneticPr fontId="6" type="noConversion"/>
  </si>
  <si>
    <t xml:space="preserve">  广东省汕头市泰山路83号</t>
    <phoneticPr fontId="6" type="noConversion"/>
  </si>
  <si>
    <t>规定标准</t>
    <phoneticPr fontId="6" type="noConversion"/>
  </si>
  <si>
    <t xml:space="preserve">报告编号（NO.）： </t>
    <phoneticPr fontId="6" type="noConversion"/>
  </si>
  <si>
    <t>产品批号</t>
    <phoneticPr fontId="6" type="noConversion"/>
  </si>
  <si>
    <t>样品编号</t>
    <phoneticPr fontId="6" type="noConversion"/>
  </si>
  <si>
    <t>生产日期</t>
    <phoneticPr fontId="6" type="noConversion"/>
  </si>
  <si>
    <t>样品状态</t>
    <phoneticPr fontId="6" type="noConversion"/>
  </si>
  <si>
    <t>报告日期</t>
    <phoneticPr fontId="6" type="noConversion"/>
  </si>
  <si>
    <t>订单客户</t>
    <phoneticPr fontId="6" type="noConversion"/>
  </si>
  <si>
    <t>单位</t>
    <phoneticPr fontId="6" type="noConversion"/>
  </si>
  <si>
    <t>批准：</t>
    <phoneticPr fontId="6" type="noConversion"/>
  </si>
  <si>
    <t>单项结论</t>
    <phoneticPr fontId="6" type="noConversion"/>
  </si>
  <si>
    <t>检验方法</t>
    <phoneticPr fontId="6" type="noConversion"/>
  </si>
  <si>
    <t>批       号</t>
    <phoneticPr fontId="6" type="noConversion"/>
  </si>
  <si>
    <t>贮藏条件</t>
    <phoneticPr fontId="6" type="noConversion"/>
  </si>
  <si>
    <t>客户物料代码</t>
    <phoneticPr fontId="6" type="noConversion"/>
  </si>
  <si>
    <t>物料标准</t>
  </si>
  <si>
    <t>物料名称</t>
    <phoneticPr fontId="6" type="noConversion"/>
  </si>
  <si>
    <t>批      量</t>
    <phoneticPr fontId="6" type="noConversion"/>
  </si>
  <si>
    <t>物料批次号</t>
    <phoneticPr fontId="6" type="noConversion"/>
  </si>
  <si>
    <t>供应商代码</t>
    <phoneticPr fontId="6" type="noConversion"/>
  </si>
  <si>
    <t>（原辅料）规格</t>
    <phoneticPr fontId="3" type="noConversion"/>
  </si>
  <si>
    <t>内容物规格（成品）</t>
    <phoneticPr fontId="3" type="noConversion"/>
  </si>
  <si>
    <t>S码检验批</t>
    <phoneticPr fontId="6" type="noConversion"/>
  </si>
  <si>
    <t>检验描述</t>
    <phoneticPr fontId="3" type="noConversion"/>
  </si>
  <si>
    <t>明胶批次</t>
    <phoneticPr fontId="3" type="noConversion"/>
  </si>
  <si>
    <t>样本容器（文本）</t>
    <phoneticPr fontId="3" type="noConversion"/>
  </si>
  <si>
    <t>供 应 商</t>
  </si>
  <si>
    <t>保密文件</t>
    <phoneticPr fontId="6" type="noConversion"/>
  </si>
  <si>
    <t>编号：SOR-QA-0057-22-01</t>
    <phoneticPr fontId="6" type="noConversion"/>
  </si>
  <si>
    <t>批     号</t>
    <phoneticPr fontId="6" type="noConversion"/>
  </si>
  <si>
    <t>规     格</t>
    <phoneticPr fontId="6" type="noConversion"/>
  </si>
  <si>
    <t>批     量</t>
    <phoneticPr fontId="3" type="noConversion"/>
  </si>
  <si>
    <t>检验日期</t>
    <phoneticPr fontId="6" type="noConversion"/>
  </si>
  <si>
    <t>检验依据</t>
    <phoneticPr fontId="6" type="noConversion"/>
  </si>
  <si>
    <t>标准规定</t>
    <phoneticPr fontId="6" type="noConversion"/>
  </si>
  <si>
    <t>结 论：</t>
    <phoneticPr fontId="6" type="noConversion"/>
  </si>
  <si>
    <t>结论</t>
    <phoneticPr fontId="3" type="noConversion"/>
  </si>
  <si>
    <t>明胶</t>
    <phoneticPr fontId="3" type="noConversion"/>
  </si>
  <si>
    <t>检验特性（已检）[QAMR中有的检验特性]</t>
    <phoneticPr fontId="3" type="noConversion"/>
  </si>
  <si>
    <t>Analytical Center of Sirio Pharma Co.,Ltd.</t>
    <phoneticPr fontId="6" type="noConversion"/>
  </si>
  <si>
    <t>No.83, Taishan Rd. Shantou, Guangdong, China</t>
    <phoneticPr fontId="6" type="noConversion"/>
  </si>
  <si>
    <t xml:space="preserve">COA NO.: </t>
    <phoneticPr fontId="6" type="noConversion"/>
  </si>
  <si>
    <t>Sample Name</t>
    <phoneticPr fontId="6" type="noConversion"/>
  </si>
  <si>
    <t>Batch No.</t>
    <phoneticPr fontId="6" type="noConversion"/>
  </si>
  <si>
    <t>Product Code</t>
    <phoneticPr fontId="6" type="noConversion"/>
  </si>
  <si>
    <t>Sample No.</t>
    <phoneticPr fontId="6" type="noConversion"/>
  </si>
  <si>
    <t>Customer</t>
    <phoneticPr fontId="6" type="noConversion"/>
  </si>
  <si>
    <t>Mfg Date</t>
    <phoneticPr fontId="6" type="noConversion"/>
  </si>
  <si>
    <t>Quantity Received</t>
    <phoneticPr fontId="6" type="noConversion"/>
  </si>
  <si>
    <t>Sample  state</t>
    <phoneticPr fontId="6" type="noConversion"/>
  </si>
  <si>
    <t>Test Date</t>
    <phoneticPr fontId="6" type="noConversion"/>
  </si>
  <si>
    <t>Issue Date</t>
    <phoneticPr fontId="6" type="noConversion"/>
  </si>
  <si>
    <t>Storage condition</t>
    <phoneticPr fontId="6" type="noConversion"/>
  </si>
  <si>
    <t>Ref. Standard</t>
    <phoneticPr fontId="6" type="noConversion"/>
  </si>
  <si>
    <t>Results</t>
    <phoneticPr fontId="6" type="noConversion"/>
  </si>
  <si>
    <t>Item</t>
    <phoneticPr fontId="6" type="noConversion"/>
  </si>
  <si>
    <t>Standard</t>
    <phoneticPr fontId="6" type="noConversion"/>
  </si>
  <si>
    <t>Result</t>
    <phoneticPr fontId="6" type="noConversion"/>
  </si>
  <si>
    <t>Unit</t>
    <phoneticPr fontId="6" type="noConversion"/>
  </si>
  <si>
    <t>Conclusion of single item</t>
    <phoneticPr fontId="6" type="noConversion"/>
  </si>
  <si>
    <t>Method</t>
    <phoneticPr fontId="6" type="noConversion"/>
  </si>
  <si>
    <t>Blank below</t>
    <phoneticPr fontId="6" type="noConversion"/>
  </si>
  <si>
    <t xml:space="preserve"> Conclusion：  </t>
    <phoneticPr fontId="6" type="noConversion"/>
  </si>
  <si>
    <t xml:space="preserve">   Remark：</t>
    <phoneticPr fontId="6" type="noConversion"/>
  </si>
  <si>
    <t xml:space="preserve">                     </t>
    <phoneticPr fontId="6" type="noConversion"/>
  </si>
  <si>
    <t>Reviewed by:</t>
    <phoneticPr fontId="6" type="noConversion"/>
  </si>
  <si>
    <t xml:space="preserve">Approved by: </t>
    <phoneticPr fontId="3" type="noConversion"/>
  </si>
  <si>
    <t>Other Items</t>
    <phoneticPr fontId="6" type="noConversion"/>
  </si>
  <si>
    <t xml:space="preserve">Conclusion </t>
    <phoneticPr fontId="6" type="noConversion"/>
  </si>
  <si>
    <t>Remark：The other items above are not tested but qualified according to Sirio’s Standard Management Procedure.</t>
    <phoneticPr fontId="6" type="noConversion"/>
  </si>
  <si>
    <t xml:space="preserve">，符合GB 6783-2013《食品添加剂 明胶》的规定。  </t>
    <phoneticPr fontId="6" type="noConversion"/>
  </si>
  <si>
    <t>检验结果单位</t>
    <phoneticPr fontId="3" type="noConversion"/>
  </si>
  <si>
    <t>Qualified</t>
    <phoneticPr fontId="3" type="noConversion"/>
  </si>
  <si>
    <t>英文检验方法</t>
    <phoneticPr fontId="3" type="noConversion"/>
  </si>
  <si>
    <t>RL300211</t>
    <phoneticPr fontId="3" type="noConversion"/>
  </si>
  <si>
    <t xml:space="preserve">Approved by: </t>
    <phoneticPr fontId="3" type="noConversion"/>
  </si>
  <si>
    <t>运行标志</t>
    <phoneticPr fontId="3" type="noConversion"/>
  </si>
  <si>
    <t>ND</t>
    <phoneticPr fontId="3" type="noConversion"/>
  </si>
  <si>
    <t>ND= Not detected</t>
    <phoneticPr fontId="6" type="noConversion"/>
  </si>
  <si>
    <t>跳批</t>
    <phoneticPr fontId="3" type="noConversion"/>
  </si>
  <si>
    <t>The other items above are not tested but qualified according to Sirio's Standard Management Procedure.</t>
    <phoneticPr fontId="3" type="noConversion"/>
  </si>
  <si>
    <t>S码样本信息</t>
    <phoneticPr fontId="3" type="noConversion"/>
  </si>
  <si>
    <t>S码</t>
    <phoneticPr fontId="3" type="noConversion"/>
  </si>
  <si>
    <t>样本确认时间</t>
    <phoneticPr fontId="3" type="noConversion"/>
  </si>
  <si>
    <t>接检样本数量</t>
    <phoneticPr fontId="3" type="noConversion"/>
  </si>
  <si>
    <t>接检样本单位</t>
    <phoneticPr fontId="3" type="noConversion"/>
  </si>
  <si>
    <t>批       量</t>
    <phoneticPr fontId="6" type="noConversion"/>
  </si>
  <si>
    <t xml:space="preserve">批准:  </t>
    <phoneticPr fontId="3" type="noConversion"/>
  </si>
  <si>
    <t>②</t>
  </si>
  <si>
    <t>②</t>
    <phoneticPr fontId="3" type="noConversion"/>
  </si>
  <si>
    <t>⑤</t>
    <phoneticPr fontId="3" type="noConversion"/>
  </si>
  <si>
    <t>④</t>
    <phoneticPr fontId="3" type="noConversion"/>
  </si>
  <si>
    <t xml:space="preserve">③ </t>
    <phoneticPr fontId="3" type="noConversion"/>
  </si>
  <si>
    <t xml:space="preserve">The items with "#" were tested by the third party testing organization which approved by our testing Centre ;							</t>
    <phoneticPr fontId="3" type="noConversion"/>
  </si>
  <si>
    <t>外检</t>
    <phoneticPr fontId="3" type="noConversion"/>
  </si>
  <si>
    <t>外部方法</t>
    <phoneticPr fontId="3" type="noConversion"/>
  </si>
  <si>
    <t>外检标志</t>
    <phoneticPr fontId="3" type="noConversion"/>
  </si>
  <si>
    <t>名称</t>
    <phoneticPr fontId="3" type="noConversion"/>
  </si>
  <si>
    <t>标准</t>
    <phoneticPr fontId="3" type="noConversion"/>
  </si>
  <si>
    <t>检验结果</t>
    <phoneticPr fontId="3" type="noConversion"/>
  </si>
  <si>
    <t>单位</t>
    <phoneticPr fontId="3" type="noConversion"/>
  </si>
  <si>
    <t>结论</t>
    <phoneticPr fontId="3" type="noConversion"/>
  </si>
  <si>
    <t>检验方法</t>
    <phoneticPr fontId="3" type="noConversion"/>
  </si>
  <si>
    <t>是否打印</t>
    <phoneticPr fontId="3" type="noConversion"/>
  </si>
  <si>
    <t>QA/QC</t>
    <phoneticPr fontId="3" type="noConversion"/>
  </si>
  <si>
    <t>S码标志</t>
    <phoneticPr fontId="3" type="noConversion"/>
  </si>
  <si>
    <t>名称EN</t>
    <phoneticPr fontId="3" type="noConversion"/>
  </si>
  <si>
    <t>标准EN</t>
    <phoneticPr fontId="3" type="noConversion"/>
  </si>
  <si>
    <t>检验方法EN</t>
    <phoneticPr fontId="3" type="noConversion"/>
  </si>
  <si>
    <t>外检/S码标志</t>
    <phoneticPr fontId="3" type="noConversion"/>
  </si>
  <si>
    <t>方法EN</t>
    <phoneticPr fontId="3" type="noConversion"/>
  </si>
  <si>
    <t>项目：苯并芘</t>
    <phoneticPr fontId="3" type="noConversion"/>
  </si>
  <si>
    <t xml:space="preserve">The test method of GB 5009.27-2016 meets the method validation requirement of  COMMISSION REGULATION (EC) No 333/2007.  </t>
    <phoneticPr fontId="3" type="noConversion"/>
  </si>
  <si>
    <t xml:space="preserve"> 仙乐健康科技股份有限公司检验中心</t>
    <phoneticPr fontId="6" type="noConversion"/>
  </si>
  <si>
    <t xml:space="preserve">  广东省汕头市泰山路83号</t>
    <phoneticPr fontId="6" type="noConversion"/>
  </si>
  <si>
    <t xml:space="preserve">报告编号（NO.）： </t>
    <phoneticPr fontId="6" type="noConversion"/>
  </si>
  <si>
    <t>产品批号</t>
    <phoneticPr fontId="6" type="noConversion"/>
  </si>
  <si>
    <t>生产日期</t>
    <phoneticPr fontId="6" type="noConversion"/>
  </si>
  <si>
    <t>样品状态</t>
    <phoneticPr fontId="6" type="noConversion"/>
  </si>
  <si>
    <t>样品编号</t>
    <phoneticPr fontId="6" type="noConversion"/>
  </si>
  <si>
    <t>报告日期</t>
    <phoneticPr fontId="6" type="noConversion"/>
  </si>
  <si>
    <t>订单客户</t>
    <phoneticPr fontId="6" type="noConversion"/>
  </si>
  <si>
    <t xml:space="preserve">      </t>
    <phoneticPr fontId="6" type="noConversion"/>
  </si>
  <si>
    <t>以下空白</t>
    <phoneticPr fontId="3" type="noConversion"/>
  </si>
  <si>
    <t>Expiry Date 
or Validity</t>
    <phoneticPr fontId="6" type="noConversion"/>
  </si>
  <si>
    <t>Reviewed by:</t>
    <phoneticPr fontId="6" type="noConversion"/>
  </si>
  <si>
    <t xml:space="preserve">COA NO.: </t>
    <phoneticPr fontId="3" type="noConversion"/>
  </si>
  <si>
    <t xml:space="preserve">                                           (QC)                                                                                       (Authorized Representative)</t>
    <phoneticPr fontId="6" type="noConversion"/>
  </si>
  <si>
    <t>批准:</t>
    <phoneticPr fontId="3" type="noConversion"/>
  </si>
  <si>
    <t>NO：</t>
    <phoneticPr fontId="3" type="noConversion"/>
  </si>
  <si>
    <t>审核:</t>
    <phoneticPr fontId="3" type="noConversion"/>
  </si>
  <si>
    <t xml:space="preserve">①未经本检验中心书面批准，不得复制（全文复制除外）检测报告。
</t>
    <phoneticPr fontId="6" type="noConversion"/>
  </si>
  <si>
    <t>审核：</t>
    <phoneticPr fontId="6" type="noConversion"/>
  </si>
  <si>
    <t>审核：</t>
    <phoneticPr fontId="3" type="noConversion"/>
  </si>
  <si>
    <t xml:space="preserve">审核:     </t>
    <phoneticPr fontId="3" type="noConversion"/>
  </si>
  <si>
    <t>带“#”的检测项目由本检验中心认可的第三方检测机构检测。</t>
    <phoneticPr fontId="6" type="noConversion"/>
  </si>
  <si>
    <t>溶血性链球菌采用GB 4789.11-2014检测 β型溶血性链球菌。</t>
    <phoneticPr fontId="3" type="noConversion"/>
  </si>
  <si>
    <t xml:space="preserve">① Without the written permission of this test center, do not copy the test report except the case of copying the entire report.
</t>
    <phoneticPr fontId="6" type="noConversion"/>
  </si>
  <si>
    <t>RL200001</t>
  </si>
  <si>
    <t>RL200002</t>
  </si>
  <si>
    <t>RL100001</t>
  </si>
  <si>
    <t>RL100002</t>
  </si>
  <si>
    <t>RL100003</t>
  </si>
  <si>
    <t>RL100004</t>
  </si>
  <si>
    <t>RL100005</t>
  </si>
  <si>
    <t>RL100006</t>
  </si>
  <si>
    <t>RL100007</t>
  </si>
  <si>
    <t>RL100008</t>
  </si>
  <si>
    <t>RL100009</t>
  </si>
  <si>
    <t>RL100010</t>
  </si>
  <si>
    <t>RL100011</t>
  </si>
  <si>
    <t>RL100012</t>
  </si>
  <si>
    <t>RL100013</t>
  </si>
  <si>
    <t>RL100014</t>
  </si>
  <si>
    <t xml:space="preserve"> 仙乐健康科技（安徽）有限公司检验中心</t>
    <phoneticPr fontId="3" type="noConversion"/>
  </si>
  <si>
    <t xml:space="preserve">  仙乐健康科技（安徽）有限公司检验中心</t>
    <phoneticPr fontId="6" type="noConversion"/>
  </si>
  <si>
    <t xml:space="preserve">  安徽省马鞍山经济技术开发区红旗南路1980号</t>
    <phoneticPr fontId="6" type="noConversion"/>
  </si>
  <si>
    <t xml:space="preserve"> 仙乐健康科技（安徽）有限公司检验中心</t>
    <phoneticPr fontId="6" type="noConversion"/>
  </si>
  <si>
    <t xml:space="preserve">Analytical Center of Sirio Healthcare (Anhui) Co., Ltd </t>
    <phoneticPr fontId="6" type="noConversion"/>
  </si>
  <si>
    <t>No.1980 Hongqi Road(S.) Economic and Technological Development Zone, Ma'anshan, Anhui, China</t>
    <phoneticPr fontId="6" type="noConversion"/>
  </si>
  <si>
    <t xml:space="preserve"> 用于本批次产品胶囊壳的明胶（物料批次号为</t>
    <phoneticPr fontId="6" type="noConversion"/>
  </si>
  <si>
    <t>RL100015</t>
    <phoneticPr fontId="43" type="noConversion"/>
  </si>
  <si>
    <t>RL100016</t>
  </si>
  <si>
    <t>RL100017</t>
  </si>
  <si>
    <t>RL100018</t>
  </si>
  <si>
    <t>RL100019</t>
  </si>
  <si>
    <t>RL200003</t>
    <phoneticPr fontId="3" type="noConversion"/>
  </si>
  <si>
    <t>RL200004</t>
    <phoneticPr fontId="3" type="noConversion"/>
  </si>
  <si>
    <t>RL100020</t>
    <phoneticPr fontId="3" type="noConversion"/>
  </si>
  <si>
    <t>RL100021</t>
    <phoneticPr fontId="3" type="noConversion"/>
  </si>
  <si>
    <t>RL100022</t>
    <phoneticPr fontId="3" type="noConversion"/>
  </si>
  <si>
    <t>RL200005</t>
    <phoneticPr fontId="3" type="noConversion"/>
  </si>
  <si>
    <t>RL100023</t>
    <phoneticPr fontId="3" type="noConversion"/>
  </si>
  <si>
    <t>RL100024</t>
    <phoneticPr fontId="3" type="noConversion"/>
  </si>
  <si>
    <t>RL100025</t>
    <phoneticPr fontId="3" type="noConversion"/>
  </si>
  <si>
    <t>RL200006</t>
    <phoneticPr fontId="3" type="noConversion"/>
  </si>
  <si>
    <t>RL200007</t>
    <phoneticPr fontId="3" type="noConversion"/>
  </si>
  <si>
    <t>RL200008</t>
    <phoneticPr fontId="3" type="noConversion"/>
  </si>
  <si>
    <t>RL200009</t>
    <phoneticPr fontId="3" type="noConversion"/>
  </si>
  <si>
    <t>RL200010</t>
    <phoneticPr fontId="3" type="noConversion"/>
  </si>
  <si>
    <t>产品检验报告</t>
    <phoneticPr fontId="6" type="noConversion"/>
  </si>
  <si>
    <t>产品检验报告（S）</t>
    <phoneticPr fontId="6" type="noConversion"/>
  </si>
  <si>
    <t>包材检验报告</t>
    <phoneticPr fontId="6" type="noConversion"/>
  </si>
  <si>
    <t>NO.:SOR-QC-8042-17-1</t>
    <phoneticPr fontId="6" type="noConversion"/>
  </si>
  <si>
    <t>Certificate Of Analysis</t>
    <phoneticPr fontId="6" type="noConversion"/>
  </si>
  <si>
    <t>包材检验报告书</t>
    <phoneticPr fontId="6" type="noConversion"/>
  </si>
  <si>
    <t>编号：SOR-QC-8041-17-1</t>
    <phoneticPr fontId="6" type="noConversion"/>
  </si>
  <si>
    <t>原辅料检验报告</t>
    <phoneticPr fontId="6" type="noConversion"/>
  </si>
  <si>
    <t>编号：SOR-QC-8040-17-1</t>
    <phoneticPr fontId="6" type="noConversion"/>
  </si>
  <si>
    <t>产品检验报告（I）</t>
    <phoneticPr fontId="6" type="noConversion"/>
  </si>
  <si>
    <t>编号：SOR-QC-8039-17-1</t>
    <phoneticPr fontId="6" type="noConversion"/>
  </si>
  <si>
    <t>产品检验报告（PF）</t>
    <phoneticPr fontId="6" type="noConversion"/>
  </si>
  <si>
    <t>编号：SOR-QC-8038-17-1</t>
    <phoneticPr fontId="6" type="noConversion"/>
  </si>
  <si>
    <t>编号：SOR-QC-8037-17-1</t>
    <phoneticPr fontId="6" type="noConversion"/>
  </si>
  <si>
    <t>编号：SOR-QC-8036-17-1</t>
    <phoneticPr fontId="6" type="noConversion"/>
  </si>
  <si>
    <t>编号：SOR-AH-QC-2419-01-01</t>
    <phoneticPr fontId="6" type="noConversion"/>
  </si>
  <si>
    <t>产品检验报告</t>
    <phoneticPr fontId="6" type="noConversion"/>
  </si>
  <si>
    <t>编号：SOR-AH-QC-2422-01-01</t>
    <phoneticPr fontId="6" type="noConversion"/>
  </si>
  <si>
    <t>产品检验报告(PF)</t>
    <phoneticPr fontId="6" type="noConversion"/>
  </si>
  <si>
    <t>编号：SOR-AH-QC-2421-01-01</t>
    <phoneticPr fontId="6" type="noConversion"/>
  </si>
  <si>
    <t>产品检验报告（S）</t>
    <phoneticPr fontId="6" type="noConversion"/>
  </si>
  <si>
    <t>编号：SOR-AH-QC-2418-01-01</t>
    <phoneticPr fontId="6" type="noConversion"/>
  </si>
  <si>
    <t>物料检验报告</t>
    <phoneticPr fontId="6" type="noConversion"/>
  </si>
  <si>
    <t>Certificate Of Analysis</t>
    <phoneticPr fontId="6" type="noConversion"/>
  </si>
  <si>
    <t>NO.:SOR-AH-QC-2420-01-01</t>
    <phoneticPr fontId="6" type="noConversion"/>
  </si>
  <si>
    <t>以下空白</t>
    <phoneticPr fontId="6" type="noConversion"/>
  </si>
  <si>
    <t>产成品接检样本数量</t>
    <phoneticPr fontId="3" type="noConversion"/>
  </si>
  <si>
    <t>物料批次号</t>
    <phoneticPr fontId="3" type="noConversion"/>
  </si>
  <si>
    <t>物料批次号</t>
    <phoneticPr fontId="3" type="noConversion"/>
  </si>
  <si>
    <t xml:space="preserve">                                           (QC)                                                                                          (Authorized Representative)</t>
    <phoneticPr fontId="6" type="noConversion"/>
  </si>
  <si>
    <t xml:space="preserve">                                                (QC)                                                              (Authorized Representative)</t>
    <phoneticPr fontId="6" type="noConversion"/>
  </si>
</sst>
</file>

<file path=xl/styles.xml><?xml version="1.0" encoding="utf-8"?>
<styleSheet xmlns="http://schemas.openxmlformats.org/spreadsheetml/2006/main">
  <numFmts count="5">
    <numFmt numFmtId="176" formatCode="0_);[Red]\(0\)"/>
    <numFmt numFmtId="177" formatCode="[$-F400]h:mm:ss\ AM/PM"/>
    <numFmt numFmtId="178" formatCode="000000"/>
    <numFmt numFmtId="179" formatCode="[$-409]dd\-mmm\-yy;@"/>
    <numFmt numFmtId="180" formatCode="m/d;@"/>
  </numFmts>
  <fonts count="46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宋体"/>
      <family val="3"/>
      <charset val="134"/>
    </font>
    <font>
      <sz val="10"/>
      <name val="华文细黑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color theme="1"/>
      <name val="华文细黑"/>
      <family val="3"/>
      <charset val="134"/>
    </font>
    <font>
      <sz val="11"/>
      <color theme="1"/>
      <name val="等线"/>
      <family val="3"/>
      <charset val="134"/>
      <scheme val="minor"/>
    </font>
    <font>
      <b/>
      <sz val="22"/>
      <color theme="1"/>
      <name val="隶书"/>
      <family val="3"/>
      <charset val="134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0.5"/>
      <name val="微软雅黑"/>
      <family val="2"/>
      <charset val="134"/>
    </font>
    <font>
      <b/>
      <sz val="11"/>
      <name val="微软雅黑"/>
      <family val="2"/>
      <charset val="134"/>
    </font>
    <font>
      <b/>
      <sz val="12"/>
      <name val="微软雅黑"/>
      <family val="2"/>
      <charset val="134"/>
    </font>
    <font>
      <b/>
      <sz val="10"/>
      <name val="微软雅黑"/>
      <family val="2"/>
      <charset val="134"/>
    </font>
    <font>
      <sz val="11"/>
      <name val="微软雅黑"/>
      <family val="2"/>
      <charset val="134"/>
    </font>
    <font>
      <b/>
      <sz val="12"/>
      <name val="宋体"/>
      <family val="3"/>
      <charset val="134"/>
    </font>
    <font>
      <sz val="9.5"/>
      <name val="微软雅黑"/>
      <family val="2"/>
      <charset val="134"/>
    </font>
    <font>
      <sz val="10"/>
      <name val="微软雅黑"/>
      <family val="2"/>
      <charset val="134"/>
    </font>
    <font>
      <b/>
      <sz val="16"/>
      <name val="微软雅黑"/>
      <family val="2"/>
      <charset val="134"/>
    </font>
    <font>
      <sz val="9"/>
      <name val="Times New Roman"/>
      <family val="1"/>
    </font>
    <font>
      <sz val="10.5"/>
      <name val="微软雅黑"/>
      <family val="2"/>
      <charset val="134"/>
    </font>
    <font>
      <sz val="10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rgb="FF00B0F0"/>
      <name val="宋体"/>
      <family val="3"/>
      <charset val="134"/>
    </font>
    <font>
      <sz val="10"/>
      <color rgb="FF92D050"/>
      <name val="宋体"/>
      <family val="3"/>
      <charset val="134"/>
    </font>
    <font>
      <sz val="11"/>
      <color theme="0"/>
      <name val="等线"/>
      <family val="2"/>
      <charset val="134"/>
      <scheme val="minor"/>
    </font>
    <font>
      <b/>
      <sz val="22"/>
      <name val="隶书"/>
      <family val="3"/>
      <charset val="134"/>
    </font>
    <font>
      <sz val="12"/>
      <name val="Times New Roman"/>
      <family val="1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9.5"/>
      <name val="微软雅黑"/>
      <family val="2"/>
      <charset val="134"/>
    </font>
    <font>
      <b/>
      <sz val="9"/>
      <name val="微软雅黑"/>
      <family val="2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.5"/>
      <color theme="1"/>
      <name val="微软雅黑"/>
      <family val="2"/>
      <charset val="134"/>
    </font>
    <font>
      <sz val="10.5"/>
      <name val="宋体"/>
      <family val="3"/>
      <charset val="134"/>
    </font>
    <font>
      <sz val="10"/>
      <color theme="0"/>
      <name val="华文细黑"/>
      <family val="3"/>
      <charset val="134"/>
    </font>
    <font>
      <sz val="9"/>
      <name val="等线"/>
      <family val="3"/>
      <charset val="134"/>
      <scheme val="minor"/>
    </font>
    <font>
      <sz val="10.5"/>
      <color theme="1"/>
      <name val="宋体"/>
      <family val="3"/>
      <charset val="134"/>
    </font>
    <font>
      <sz val="9"/>
      <color theme="1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177" fontId="0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7" fillId="0" borderId="0"/>
    <xf numFmtId="177" fontId="7" fillId="0" borderId="0"/>
    <xf numFmtId="177" fontId="7" fillId="0" borderId="0"/>
    <xf numFmtId="177" fontId="7" fillId="0" borderId="0"/>
    <xf numFmtId="177" fontId="7" fillId="0" borderId="0"/>
  </cellStyleXfs>
  <cellXfs count="381">
    <xf numFmtId="177" fontId="0" fillId="0" borderId="0" xfId="0">
      <alignment vertical="center"/>
    </xf>
    <xf numFmtId="177" fontId="2" fillId="0" borderId="0" xfId="0" applyFont="1">
      <alignment vertical="center"/>
    </xf>
    <xf numFmtId="177" fontId="4" fillId="0" borderId="0" xfId="1" applyNumberFormat="1" applyFont="1" applyAlignment="1">
      <alignment horizontal="left" vertical="top" wrapText="1"/>
    </xf>
    <xf numFmtId="177" fontId="5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77" fontId="5" fillId="0" borderId="0" xfId="0" applyNumberFormat="1" applyFont="1" applyAlignment="1">
      <alignment horizontal="left" vertical="top" wrapText="1"/>
    </xf>
    <xf numFmtId="177" fontId="8" fillId="0" borderId="0" xfId="0" applyFont="1" applyAlignment="1">
      <alignment horizontal="left" vertical="top"/>
    </xf>
    <xf numFmtId="177" fontId="7" fillId="0" borderId="0" xfId="0" applyFont="1" applyAlignment="1"/>
    <xf numFmtId="177" fontId="12" fillId="0" borderId="3" xfId="0" applyFont="1" applyBorder="1" applyAlignment="1"/>
    <xf numFmtId="49" fontId="14" fillId="0" borderId="0" xfId="0" applyNumberFormat="1" applyFont="1" applyBorder="1" applyAlignment="1">
      <alignment horizontal="center" vertical="center"/>
    </xf>
    <xf numFmtId="177" fontId="22" fillId="0" borderId="0" xfId="0" applyFont="1" applyAlignment="1">
      <alignment wrapText="1"/>
    </xf>
    <xf numFmtId="177" fontId="12" fillId="0" borderId="0" xfId="0" applyFont="1" applyBorder="1" applyAlignment="1"/>
    <xf numFmtId="49" fontId="17" fillId="0" borderId="0" xfId="0" applyNumberFormat="1" applyFont="1" applyBorder="1" applyAlignment="1">
      <alignment horizontal="left" vertical="center"/>
    </xf>
    <xf numFmtId="177" fontId="11" fillId="0" borderId="3" xfId="0" applyFont="1" applyBorder="1" applyAlignment="1">
      <alignment horizontal="right"/>
    </xf>
    <xf numFmtId="177" fontId="11" fillId="0" borderId="0" xfId="0" applyNumberFormat="1" applyFont="1" applyBorder="1" applyAlignment="1"/>
    <xf numFmtId="49" fontId="16" fillId="0" borderId="0" xfId="0" applyNumberFormat="1" applyFont="1" applyBorder="1" applyAlignment="1">
      <alignment horizontal="left" vertical="center" wrapText="1"/>
    </xf>
    <xf numFmtId="177" fontId="9" fillId="0" borderId="0" xfId="0" applyFont="1" applyAlignment="1">
      <alignment vertical="top" wrapText="1"/>
    </xf>
    <xf numFmtId="177" fontId="20" fillId="0" borderId="0" xfId="0" applyNumberFormat="1" applyFont="1" applyBorder="1" applyAlignment="1">
      <alignment horizontal="left" vertical="top"/>
    </xf>
    <xf numFmtId="177" fontId="0" fillId="0" borderId="0" xfId="0" applyNumberFormat="1" applyBorder="1" applyAlignment="1">
      <alignment horizontal="left" vertical="top"/>
    </xf>
    <xf numFmtId="177" fontId="11" fillId="0" borderId="0" xfId="0" applyFont="1" applyBorder="1" applyAlignment="1">
      <alignment vertical="center"/>
    </xf>
    <xf numFmtId="177" fontId="11" fillId="0" borderId="0" xfId="0" applyFont="1" applyBorder="1" applyAlignment="1"/>
    <xf numFmtId="49" fontId="14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horizontal="left" vertical="center"/>
    </xf>
    <xf numFmtId="177" fontId="7" fillId="0" borderId="0" xfId="3"/>
    <xf numFmtId="177" fontId="7" fillId="0" borderId="0" xfId="3" applyFont="1" applyAlignment="1"/>
    <xf numFmtId="177" fontId="20" fillId="0" borderId="0" xfId="3" applyFont="1" applyAlignment="1">
      <alignment horizontal="left" vertical="center"/>
    </xf>
    <xf numFmtId="177" fontId="22" fillId="0" borderId="0" xfId="3" applyFont="1" applyAlignment="1">
      <alignment wrapText="1"/>
    </xf>
    <xf numFmtId="177" fontId="12" fillId="0" borderId="0" xfId="3" applyFont="1" applyBorder="1"/>
    <xf numFmtId="177" fontId="12" fillId="0" borderId="3" xfId="3" applyFont="1" applyBorder="1"/>
    <xf numFmtId="49" fontId="14" fillId="0" borderId="0" xfId="3" applyNumberFormat="1" applyFont="1" applyBorder="1" applyAlignment="1">
      <alignment horizontal="center" vertical="center"/>
    </xf>
    <xf numFmtId="49" fontId="17" fillId="0" borderId="0" xfId="3" applyNumberFormat="1" applyFont="1" applyBorder="1" applyAlignment="1">
      <alignment horizontal="left" vertical="center"/>
    </xf>
    <xf numFmtId="49" fontId="4" fillId="2" borderId="0" xfId="1" applyNumberFormat="1" applyFont="1" applyFill="1" applyAlignment="1"/>
    <xf numFmtId="49" fontId="25" fillId="0" borderId="0" xfId="1" applyNumberFormat="1" applyFont="1">
      <alignment vertical="center"/>
    </xf>
    <xf numFmtId="49" fontId="25" fillId="0" borderId="0" xfId="2" applyNumberFormat="1" applyFont="1">
      <alignment vertical="center"/>
    </xf>
    <xf numFmtId="177" fontId="25" fillId="0" borderId="0" xfId="0" applyFont="1">
      <alignment vertical="center"/>
    </xf>
    <xf numFmtId="49" fontId="25" fillId="0" borderId="0" xfId="0" applyNumberFormat="1" applyFont="1" applyAlignment="1"/>
    <xf numFmtId="49" fontId="4" fillId="3" borderId="0" xfId="1" applyNumberFormat="1" applyFont="1" applyFill="1" applyAlignment="1"/>
    <xf numFmtId="49" fontId="25" fillId="0" borderId="0" xfId="1" applyNumberFormat="1" applyFont="1" applyAlignment="1"/>
    <xf numFmtId="49" fontId="26" fillId="0" borderId="0" xfId="1" applyNumberFormat="1" applyFont="1" applyAlignment="1"/>
    <xf numFmtId="176" fontId="25" fillId="0" borderId="0" xfId="2" applyNumberFormat="1" applyFont="1">
      <alignment vertical="center"/>
    </xf>
    <xf numFmtId="49" fontId="27" fillId="0" borderId="0" xfId="1" applyNumberFormat="1" applyFont="1" applyFill="1" applyAlignment="1"/>
    <xf numFmtId="49" fontId="25" fillId="0" borderId="0" xfId="2" applyNumberFormat="1" applyFont="1" applyAlignment="1"/>
    <xf numFmtId="49" fontId="25" fillId="0" borderId="0" xfId="0" applyNumberFormat="1" applyFont="1">
      <alignment vertical="center"/>
    </xf>
    <xf numFmtId="49" fontId="25" fillId="2" borderId="0" xfId="1" applyNumberFormat="1" applyFont="1" applyFill="1" applyAlignment="1"/>
    <xf numFmtId="49" fontId="4" fillId="2" borderId="0" xfId="1" applyNumberFormat="1" applyFont="1" applyFill="1" applyAlignment="1">
      <alignment vertical="top" wrapText="1"/>
    </xf>
    <xf numFmtId="176" fontId="4" fillId="2" borderId="0" xfId="1" applyNumberFormat="1" applyFont="1" applyFill="1" applyAlignment="1">
      <alignment vertical="top" wrapText="1"/>
    </xf>
    <xf numFmtId="49" fontId="4" fillId="3" borderId="0" xfId="1" applyNumberFormat="1" applyFont="1" applyFill="1" applyAlignment="1">
      <alignment horizontal="left" vertical="top" wrapText="1"/>
    </xf>
    <xf numFmtId="176" fontId="4" fillId="3" borderId="0" xfId="1" applyNumberFormat="1" applyFont="1" applyFill="1" applyAlignment="1">
      <alignment horizontal="left" vertical="top" wrapText="1"/>
    </xf>
    <xf numFmtId="177" fontId="7" fillId="0" borderId="0" xfId="4"/>
    <xf numFmtId="177" fontId="22" fillId="0" borderId="0" xfId="4" applyFont="1" applyAlignment="1">
      <alignment wrapText="1"/>
    </xf>
    <xf numFmtId="177" fontId="20" fillId="0" borderId="0" xfId="4" applyFont="1" applyAlignment="1">
      <alignment vertical="center"/>
    </xf>
    <xf numFmtId="177" fontId="7" fillId="0" borderId="0" xfId="4" applyFont="1"/>
    <xf numFmtId="177" fontId="7" fillId="0" borderId="3" xfId="4" applyBorder="1"/>
    <xf numFmtId="177" fontId="15" fillId="0" borderId="0" xfId="4" applyFont="1" applyAlignment="1">
      <alignment horizontal="left" vertical="center"/>
    </xf>
    <xf numFmtId="177" fontId="14" fillId="0" borderId="0" xfId="4" applyFont="1" applyBorder="1" applyAlignment="1">
      <alignment vertical="center"/>
    </xf>
    <xf numFmtId="49" fontId="0" fillId="0" borderId="0" xfId="0" applyNumberFormat="1" applyAlignment="1"/>
    <xf numFmtId="176" fontId="0" fillId="0" borderId="0" xfId="0" applyNumberFormat="1" applyAlignment="1"/>
    <xf numFmtId="49" fontId="0" fillId="0" borderId="0" xfId="0" applyNumberFormat="1">
      <alignment vertical="center"/>
    </xf>
    <xf numFmtId="177" fontId="28" fillId="0" borderId="0" xfId="0" applyFont="1">
      <alignment vertical="center"/>
    </xf>
    <xf numFmtId="49" fontId="2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77" fontId="22" fillId="0" borderId="0" xfId="4" applyNumberFormat="1" applyFont="1" applyAlignment="1"/>
    <xf numFmtId="177" fontId="24" fillId="0" borderId="0" xfId="1" applyNumberFormat="1" applyFont="1" applyAlignment="1">
      <alignment horizontal="left" vertical="top" wrapText="1"/>
    </xf>
    <xf numFmtId="177" fontId="24" fillId="0" borderId="0" xfId="2" applyNumberFormat="1" applyFont="1" applyAlignment="1">
      <alignment horizontal="left" vertical="top" wrapText="1"/>
    </xf>
    <xf numFmtId="49" fontId="24" fillId="0" borderId="0" xfId="2" applyNumberFormat="1" applyFont="1" applyAlignment="1">
      <alignment horizontal="left" vertical="top" wrapText="1"/>
    </xf>
    <xf numFmtId="177" fontId="24" fillId="0" borderId="0" xfId="1" applyNumberFormat="1" applyFont="1" applyFill="1" applyAlignment="1">
      <alignment horizontal="left" vertical="top" wrapText="1"/>
    </xf>
    <xf numFmtId="177" fontId="24" fillId="0" borderId="0" xfId="0" applyFont="1" applyAlignment="1">
      <alignment horizontal="left" vertical="top"/>
    </xf>
    <xf numFmtId="177" fontId="24" fillId="0" borderId="0" xfId="0" applyNumberFormat="1" applyFont="1" applyAlignment="1">
      <alignment horizontal="left" vertical="top"/>
    </xf>
    <xf numFmtId="177" fontId="33" fillId="0" borderId="0" xfId="0" applyFont="1" applyAlignment="1">
      <alignment horizontal="left" vertical="top"/>
    </xf>
    <xf numFmtId="49" fontId="25" fillId="0" borderId="0" xfId="2" applyNumberFormat="1" applyFont="1" applyAlignment="1">
      <alignment vertical="center"/>
    </xf>
    <xf numFmtId="177" fontId="7" fillId="0" borderId="0" xfId="6" applyFont="1" applyFill="1" applyAlignment="1">
      <alignment vertical="center"/>
    </xf>
    <xf numFmtId="177" fontId="22" fillId="0" borderId="0" xfId="6" applyFont="1" applyFill="1" applyAlignment="1">
      <alignment vertical="center" wrapText="1"/>
    </xf>
    <xf numFmtId="177" fontId="12" fillId="0" borderId="0" xfId="6" applyFont="1" applyFill="1" applyAlignment="1">
      <alignment vertical="center"/>
    </xf>
    <xf numFmtId="177" fontId="12" fillId="0" borderId="3" xfId="6" applyFont="1" applyFill="1" applyBorder="1" applyAlignment="1">
      <alignment vertical="center"/>
    </xf>
    <xf numFmtId="177" fontId="11" fillId="0" borderId="3" xfId="6" applyFont="1" applyFill="1" applyBorder="1" applyAlignment="1">
      <alignment horizontal="center" vertical="center"/>
    </xf>
    <xf numFmtId="177" fontId="11" fillId="0" borderId="3" xfId="6" applyFont="1" applyFill="1" applyBorder="1" applyAlignment="1">
      <alignment horizontal="right" vertical="center"/>
    </xf>
    <xf numFmtId="177" fontId="17" fillId="0" borderId="3" xfId="6" applyFont="1" applyFill="1" applyBorder="1" applyAlignment="1">
      <alignment vertical="center"/>
    </xf>
    <xf numFmtId="177" fontId="19" fillId="0" borderId="0" xfId="6" applyFont="1" applyFill="1" applyBorder="1" applyAlignment="1">
      <alignment vertical="center" wrapText="1"/>
    </xf>
    <xf numFmtId="176" fontId="26" fillId="0" borderId="0" xfId="1" applyNumberFormat="1" applyFont="1" applyAlignment="1">
      <alignment horizontal="left" vertical="center"/>
    </xf>
    <xf numFmtId="49" fontId="26" fillId="0" borderId="0" xfId="1" applyNumberFormat="1" applyFont="1" applyAlignment="1">
      <alignment horizontal="left" vertical="center"/>
    </xf>
    <xf numFmtId="49" fontId="25" fillId="0" borderId="0" xfId="0" applyNumberFormat="1" applyFont="1" applyAlignment="1">
      <alignment horizontal="left" vertical="center"/>
    </xf>
    <xf numFmtId="49" fontId="36" fillId="3" borderId="0" xfId="1" applyNumberFormat="1" applyFont="1" applyFill="1" applyAlignment="1">
      <alignment horizontal="left" vertical="top" wrapText="1"/>
    </xf>
    <xf numFmtId="177" fontId="20" fillId="0" borderId="0" xfId="6" applyFont="1" applyFill="1" applyAlignment="1">
      <alignment horizontal="left" vertical="center" wrapText="1"/>
    </xf>
    <xf numFmtId="177" fontId="20" fillId="0" borderId="0" xfId="6" applyFont="1" applyFill="1" applyAlignment="1">
      <alignment horizontal="left" vertical="center" wrapText="1"/>
    </xf>
    <xf numFmtId="177" fontId="35" fillId="0" borderId="4" xfId="6" applyNumberFormat="1" applyFont="1" applyFill="1" applyBorder="1" applyAlignment="1">
      <alignment vertical="center" wrapText="1"/>
    </xf>
    <xf numFmtId="49" fontId="26" fillId="0" borderId="0" xfId="1" applyNumberFormat="1" applyFont="1" applyAlignment="1"/>
    <xf numFmtId="177" fontId="0" fillId="0" borderId="0" xfId="0" applyNumberFormat="1">
      <alignment vertical="center"/>
    </xf>
    <xf numFmtId="177" fontId="0" fillId="0" borderId="0" xfId="0">
      <alignment vertical="center"/>
    </xf>
    <xf numFmtId="49" fontId="0" fillId="0" borderId="0" xfId="0" applyNumberFormat="1" applyAlignment="1"/>
    <xf numFmtId="177" fontId="0" fillId="0" borderId="0" xfId="0" applyAlignment="1"/>
    <xf numFmtId="176" fontId="36" fillId="3" borderId="0" xfId="1" applyNumberFormat="1" applyFont="1" applyFill="1" applyAlignment="1">
      <alignment horizontal="left" vertical="top" wrapText="1"/>
    </xf>
    <xf numFmtId="49" fontId="36" fillId="2" borderId="0" xfId="1" applyNumberFormat="1" applyFont="1" applyFill="1" applyAlignment="1"/>
    <xf numFmtId="49" fontId="36" fillId="3" borderId="0" xfId="1" applyNumberFormat="1" applyFont="1" applyFill="1" applyAlignment="1"/>
    <xf numFmtId="177" fontId="0" fillId="0" borderId="0" xfId="0" applyAlignment="1">
      <alignment horizontal="left" vertical="top"/>
    </xf>
    <xf numFmtId="177" fontId="0" fillId="0" borderId="0" xfId="0" applyAlignment="1">
      <alignment horizontal="left" vertical="center"/>
    </xf>
    <xf numFmtId="177" fontId="13" fillId="0" borderId="0" xfId="0" applyNumberFormat="1" applyFont="1" applyBorder="1" applyAlignment="1">
      <alignment vertical="center"/>
    </xf>
    <xf numFmtId="49" fontId="20" fillId="0" borderId="0" xfId="0" applyNumberFormat="1" applyFont="1" applyBorder="1" applyAlignment="1">
      <alignment horizontal="left" vertical="top"/>
    </xf>
    <xf numFmtId="177" fontId="0" fillId="0" borderId="0" xfId="0">
      <alignment vertical="center"/>
    </xf>
    <xf numFmtId="49" fontId="0" fillId="0" borderId="0" xfId="0" applyNumberFormat="1" applyAlignment="1"/>
    <xf numFmtId="176" fontId="0" fillId="0" borderId="0" xfId="0" applyNumberFormat="1" applyAlignment="1"/>
    <xf numFmtId="49" fontId="0" fillId="0" borderId="0" xfId="0" applyNumberFormat="1">
      <alignment vertical="center"/>
    </xf>
    <xf numFmtId="49" fontId="32" fillId="0" borderId="1" xfId="4" applyNumberFormat="1" applyFont="1" applyBorder="1" applyAlignment="1">
      <alignment horizontal="left" vertical="center"/>
    </xf>
    <xf numFmtId="49" fontId="2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wrapText="1"/>
    </xf>
    <xf numFmtId="177" fontId="0" fillId="0" borderId="0" xfId="0" applyBorder="1">
      <alignment vertical="center"/>
    </xf>
    <xf numFmtId="177" fontId="0" fillId="0" borderId="0" xfId="0" applyNumberFormat="1" applyAlignment="1"/>
    <xf numFmtId="177" fontId="5" fillId="5" borderId="0" xfId="0" applyNumberFormat="1" applyFont="1" applyFill="1" applyAlignment="1">
      <alignment horizontal="left" vertical="top"/>
    </xf>
    <xf numFmtId="177" fontId="5" fillId="6" borderId="0" xfId="0" applyNumberFormat="1" applyFont="1" applyFill="1" applyAlignment="1">
      <alignment horizontal="left" vertical="top"/>
    </xf>
    <xf numFmtId="177" fontId="0" fillId="5" borderId="0" xfId="0" applyFill="1">
      <alignment vertical="center"/>
    </xf>
    <xf numFmtId="177" fontId="0" fillId="7" borderId="0" xfId="0" applyFill="1">
      <alignment vertical="center"/>
    </xf>
    <xf numFmtId="177" fontId="0" fillId="6" borderId="0" xfId="0" applyFill="1">
      <alignment vertical="center"/>
    </xf>
    <xf numFmtId="177" fontId="20" fillId="0" borderId="0" xfId="0" applyNumberFormat="1" applyFont="1" applyBorder="1" applyAlignment="1">
      <alignment horizontal="left" vertical="top" wrapText="1"/>
    </xf>
    <xf numFmtId="177" fontId="10" fillId="0" borderId="0" xfId="0" applyFont="1" applyAlignment="1">
      <alignment horizontal="center"/>
    </xf>
    <xf numFmtId="177" fontId="0" fillId="0" borderId="0" xfId="0" applyAlignment="1"/>
    <xf numFmtId="49" fontId="16" fillId="0" borderId="0" xfId="0" applyNumberFormat="1" applyFont="1" applyBorder="1" applyAlignment="1">
      <alignment horizontal="left" vertical="center"/>
    </xf>
    <xf numFmtId="49" fontId="39" fillId="0" borderId="0" xfId="0" applyNumberFormat="1" applyFont="1" applyAlignment="1">
      <alignment vertical="center"/>
    </xf>
    <xf numFmtId="177" fontId="39" fillId="0" borderId="0" xfId="0" applyFont="1" applyAlignment="1">
      <alignment vertical="center"/>
    </xf>
    <xf numFmtId="177" fontId="39" fillId="0" borderId="0" xfId="0" applyFont="1" applyAlignment="1">
      <alignment horizontal="left" vertical="center"/>
    </xf>
    <xf numFmtId="49" fontId="16" fillId="0" borderId="0" xfId="0" applyNumberFormat="1" applyFont="1" applyBorder="1" applyAlignment="1">
      <alignment horizontal="center" vertical="center"/>
    </xf>
    <xf numFmtId="49" fontId="14" fillId="0" borderId="3" xfId="0" applyNumberFormat="1" applyFont="1" applyBorder="1" applyAlignment="1">
      <alignment vertical="center"/>
    </xf>
    <xf numFmtId="49" fontId="17" fillId="0" borderId="4" xfId="0" applyNumberFormat="1" applyFont="1" applyBorder="1" applyAlignment="1">
      <alignment vertical="center"/>
    </xf>
    <xf numFmtId="49" fontId="17" fillId="0" borderId="3" xfId="0" applyNumberFormat="1" applyFont="1" applyBorder="1" applyAlignment="1">
      <alignment vertical="center"/>
    </xf>
    <xf numFmtId="177" fontId="17" fillId="0" borderId="0" xfId="0" applyNumberFormat="1" applyFont="1" applyBorder="1" applyAlignment="1">
      <alignment horizontal="center" vertical="center"/>
    </xf>
    <xf numFmtId="177" fontId="17" fillId="0" borderId="3" xfId="0" applyNumberFormat="1" applyFont="1" applyBorder="1" applyAlignment="1">
      <alignment horizontal="center" vertical="center"/>
    </xf>
    <xf numFmtId="177" fontId="11" fillId="0" borderId="3" xfId="0" applyFont="1" applyBorder="1" applyAlignment="1"/>
    <xf numFmtId="49" fontId="14" fillId="0" borderId="4" xfId="0" applyNumberFormat="1" applyFont="1" applyBorder="1" applyAlignment="1">
      <alignment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left" vertical="center" wrapText="1"/>
    </xf>
    <xf numFmtId="177" fontId="40" fillId="0" borderId="0" xfId="0" applyFont="1" applyBorder="1" applyAlignment="1">
      <alignment vertical="center" wrapText="1"/>
    </xf>
    <xf numFmtId="177" fontId="11" fillId="0" borderId="0" xfId="3" applyFont="1" applyBorder="1" applyAlignment="1">
      <alignment vertical="center"/>
    </xf>
    <xf numFmtId="177" fontId="11" fillId="0" borderId="0" xfId="3" applyNumberFormat="1" applyFont="1" applyBorder="1" applyAlignment="1"/>
    <xf numFmtId="177" fontId="11" fillId="0" borderId="3" xfId="3" applyFont="1" applyBorder="1" applyAlignment="1"/>
    <xf numFmtId="49" fontId="16" fillId="0" borderId="3" xfId="3" applyNumberFormat="1" applyFont="1" applyBorder="1" applyAlignment="1">
      <alignment horizontal="center" vertical="center"/>
    </xf>
    <xf numFmtId="49" fontId="16" fillId="0" borderId="3" xfId="3" applyNumberFormat="1" applyFont="1" applyBorder="1" applyAlignment="1">
      <alignment horizontal="left" vertical="center" wrapText="1"/>
    </xf>
    <xf numFmtId="177" fontId="11" fillId="0" borderId="0" xfId="0" applyFont="1" applyBorder="1" applyAlignment="1">
      <alignment horizontal="left" vertical="center"/>
    </xf>
    <xf numFmtId="177" fontId="11" fillId="0" borderId="3" xfId="6" applyFont="1" applyFill="1" applyBorder="1" applyAlignment="1">
      <alignment vertical="center"/>
    </xf>
    <xf numFmtId="177" fontId="19" fillId="0" borderId="0" xfId="6" applyFont="1" applyFill="1" applyBorder="1" applyAlignment="1">
      <alignment vertical="center"/>
    </xf>
    <xf numFmtId="177" fontId="11" fillId="0" borderId="2" xfId="6" applyFont="1" applyFill="1" applyBorder="1" applyAlignment="1">
      <alignment vertical="center" wrapText="1"/>
    </xf>
    <xf numFmtId="177" fontId="11" fillId="0" borderId="0" xfId="6" applyFont="1" applyFill="1" applyBorder="1" applyAlignment="1">
      <alignment vertical="center" wrapText="1"/>
    </xf>
    <xf numFmtId="177" fontId="35" fillId="0" borderId="3" xfId="6" applyNumberFormat="1" applyFont="1" applyFill="1" applyBorder="1" applyAlignment="1">
      <alignment vertical="center" wrapText="1"/>
    </xf>
    <xf numFmtId="177" fontId="35" fillId="0" borderId="3" xfId="6" applyFont="1" applyFill="1" applyBorder="1" applyAlignment="1">
      <alignment vertical="center"/>
    </xf>
    <xf numFmtId="177" fontId="35" fillId="0" borderId="3" xfId="6" applyFont="1" applyFill="1" applyBorder="1" applyAlignment="1">
      <alignment vertical="center" wrapText="1"/>
    </xf>
    <xf numFmtId="177" fontId="34" fillId="0" borderId="3" xfId="6" applyFont="1" applyFill="1" applyBorder="1" applyAlignment="1">
      <alignment horizontal="center" vertical="center"/>
    </xf>
    <xf numFmtId="177" fontId="35" fillId="0" borderId="3" xfId="6" applyFont="1" applyFill="1" applyBorder="1" applyAlignment="1">
      <alignment horizontal="left" vertical="center" wrapText="1"/>
    </xf>
    <xf numFmtId="177" fontId="11" fillId="0" borderId="0" xfId="4" applyFont="1" applyAlignment="1">
      <alignment horizontal="right"/>
    </xf>
    <xf numFmtId="177" fontId="20" fillId="0" borderId="0" xfId="4" applyFont="1" applyAlignment="1">
      <alignment horizontal="left"/>
    </xf>
    <xf numFmtId="49" fontId="32" fillId="0" borderId="0" xfId="4" applyNumberFormat="1" applyFont="1" applyBorder="1" applyAlignment="1">
      <alignment horizontal="left" vertical="center"/>
    </xf>
    <xf numFmtId="177" fontId="35" fillId="0" borderId="3" xfId="6" applyNumberFormat="1" applyFont="1" applyFill="1" applyBorder="1" applyAlignment="1">
      <alignment horizontal="left" vertical="center" wrapText="1"/>
    </xf>
    <xf numFmtId="177" fontId="20" fillId="0" borderId="0" xfId="6" applyFont="1" applyFill="1" applyAlignment="1">
      <alignment horizontal="left" vertical="center" wrapText="1"/>
    </xf>
    <xf numFmtId="177" fontId="11" fillId="0" borderId="3" xfId="6" applyFont="1" applyFill="1" applyBorder="1" applyAlignment="1">
      <alignment horizontal="center" vertical="center" wrapText="1"/>
    </xf>
    <xf numFmtId="177" fontId="0" fillId="0" borderId="0" xfId="0" applyAlignment="1">
      <alignment wrapText="1"/>
    </xf>
    <xf numFmtId="177" fontId="11" fillId="0" borderId="0" xfId="0" applyFont="1" applyBorder="1" applyAlignment="1">
      <alignment wrapText="1"/>
    </xf>
    <xf numFmtId="177" fontId="11" fillId="0" borderId="3" xfId="0" applyFont="1" applyBorder="1" applyAlignment="1">
      <alignment horizontal="right" wrapText="1"/>
    </xf>
    <xf numFmtId="49" fontId="17" fillId="0" borderId="0" xfId="0" applyNumberFormat="1" applyFont="1" applyBorder="1" applyAlignment="1">
      <alignment horizontal="left" vertical="center" wrapText="1"/>
    </xf>
    <xf numFmtId="177" fontId="0" fillId="0" borderId="0" xfId="0" applyBorder="1" applyAlignment="1">
      <alignment vertical="center" wrapText="1"/>
    </xf>
    <xf numFmtId="177" fontId="0" fillId="0" borderId="0" xfId="0" applyAlignment="1">
      <alignment vertical="center" wrapText="1"/>
    </xf>
    <xf numFmtId="177" fontId="12" fillId="0" borderId="0" xfId="0" applyFont="1" applyBorder="1" applyAlignment="1">
      <alignment wrapText="1"/>
    </xf>
    <xf numFmtId="177" fontId="12" fillId="0" borderId="3" xfId="0" applyFont="1" applyBorder="1" applyAlignment="1">
      <alignment wrapText="1"/>
    </xf>
    <xf numFmtId="177" fontId="17" fillId="0" borderId="3" xfId="0" applyNumberFormat="1" applyFont="1" applyBorder="1" applyAlignment="1">
      <alignment horizontal="left" vertical="center" wrapText="1"/>
    </xf>
    <xf numFmtId="49" fontId="16" fillId="0" borderId="0" xfId="0" applyNumberFormat="1" applyFont="1" applyBorder="1" applyAlignment="1">
      <alignment vertical="center" wrapText="1"/>
    </xf>
    <xf numFmtId="177" fontId="17" fillId="0" borderId="3" xfId="0" applyNumberFormat="1" applyFont="1" applyBorder="1" applyAlignment="1">
      <alignment horizontal="right" vertical="center" wrapText="1"/>
    </xf>
    <xf numFmtId="177" fontId="18" fillId="0" borderId="0" xfId="0" applyFont="1" applyAlignment="1">
      <alignment wrapText="1"/>
    </xf>
    <xf numFmtId="177" fontId="11" fillId="0" borderId="0" xfId="0" applyFont="1" applyBorder="1" applyAlignment="1">
      <alignment vertical="center" wrapText="1"/>
    </xf>
    <xf numFmtId="49" fontId="14" fillId="0" borderId="0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center" vertical="top" wrapText="1"/>
    </xf>
    <xf numFmtId="49" fontId="14" fillId="0" borderId="1" xfId="0" applyNumberFormat="1" applyFont="1" applyBorder="1" applyAlignment="1">
      <alignment horizontal="center" vertical="center" wrapText="1"/>
    </xf>
    <xf numFmtId="49" fontId="14" fillId="0" borderId="4" xfId="0" applyNumberFormat="1" applyFont="1" applyBorder="1" applyAlignment="1">
      <alignment horizontal="center" vertical="center" wrapText="1"/>
    </xf>
    <xf numFmtId="49" fontId="14" fillId="0" borderId="4" xfId="0" applyNumberFormat="1" applyFont="1" applyBorder="1" applyAlignment="1">
      <alignment horizontal="center" vertical="top" wrapText="1"/>
    </xf>
    <xf numFmtId="177" fontId="17" fillId="0" borderId="0" xfId="0" applyNumberFormat="1" applyFont="1" applyBorder="1" applyAlignment="1">
      <alignment horizontal="right" vertical="center" wrapText="1"/>
    </xf>
    <xf numFmtId="177" fontId="17" fillId="0" borderId="0" xfId="0" applyNumberFormat="1" applyFont="1" applyBorder="1" applyAlignment="1">
      <alignment horizontal="left" vertical="center" wrapText="1"/>
    </xf>
    <xf numFmtId="49" fontId="17" fillId="0" borderId="1" xfId="0" applyNumberFormat="1" applyFont="1" applyBorder="1" applyAlignment="1">
      <alignment horizontal="left" vertical="center" wrapText="1"/>
    </xf>
    <xf numFmtId="49" fontId="16" fillId="0" borderId="3" xfId="0" applyNumberFormat="1" applyFont="1" applyBorder="1" applyAlignment="1">
      <alignment vertical="center" wrapText="1"/>
    </xf>
    <xf numFmtId="177" fontId="11" fillId="0" borderId="3" xfId="0" applyFont="1" applyBorder="1" applyAlignment="1">
      <alignment horizontal="left" vertical="top" wrapText="1"/>
    </xf>
    <xf numFmtId="177" fontId="11" fillId="0" borderId="0" xfId="0" applyFont="1" applyBorder="1" applyAlignment="1">
      <alignment horizontal="left" vertical="center" wrapText="1"/>
    </xf>
    <xf numFmtId="177" fontId="12" fillId="0" borderId="0" xfId="0" applyFont="1" applyBorder="1" applyAlignment="1">
      <alignment horizontal="left" wrapText="1"/>
    </xf>
    <xf numFmtId="177" fontId="7" fillId="0" borderId="0" xfId="3" applyAlignment="1">
      <alignment wrapText="1"/>
    </xf>
    <xf numFmtId="177" fontId="11" fillId="0" borderId="0" xfId="3" applyFont="1" applyBorder="1" applyAlignment="1">
      <alignment vertical="center" wrapText="1"/>
    </xf>
    <xf numFmtId="177" fontId="12" fillId="0" borderId="3" xfId="3" applyFont="1" applyBorder="1" applyAlignment="1">
      <alignment wrapText="1"/>
    </xf>
    <xf numFmtId="49" fontId="14" fillId="0" borderId="0" xfId="3" applyNumberFormat="1" applyFont="1" applyBorder="1" applyAlignment="1">
      <alignment horizontal="center" vertical="center" wrapText="1"/>
    </xf>
    <xf numFmtId="177" fontId="12" fillId="0" borderId="0" xfId="3" applyFont="1" applyBorder="1" applyAlignment="1">
      <alignment wrapText="1"/>
    </xf>
    <xf numFmtId="177" fontId="20" fillId="0" borderId="0" xfId="3" applyNumberFormat="1" applyFont="1" applyBorder="1" applyAlignment="1">
      <alignment wrapText="1"/>
    </xf>
    <xf numFmtId="49" fontId="16" fillId="0" borderId="3" xfId="3" applyNumberFormat="1" applyFont="1" applyBorder="1" applyAlignment="1">
      <alignment vertical="center" wrapText="1"/>
    </xf>
    <xf numFmtId="49" fontId="17" fillId="0" borderId="0" xfId="3" applyNumberFormat="1" applyFont="1" applyBorder="1" applyAlignment="1">
      <alignment horizontal="left" vertical="center" wrapText="1"/>
    </xf>
    <xf numFmtId="177" fontId="20" fillId="0" borderId="0" xfId="3" applyFont="1" applyAlignment="1">
      <alignment horizontal="left" vertical="center" wrapText="1"/>
    </xf>
    <xf numFmtId="177" fontId="11" fillId="0" borderId="3" xfId="3" applyFont="1" applyBorder="1" applyAlignment="1">
      <alignment horizontal="right" wrapText="1"/>
    </xf>
    <xf numFmtId="177" fontId="11" fillId="0" borderId="0" xfId="3" applyFont="1" applyBorder="1" applyAlignment="1">
      <alignment wrapText="1"/>
    </xf>
    <xf numFmtId="177" fontId="30" fillId="0" borderId="0" xfId="4" applyFont="1" applyBorder="1" applyAlignment="1">
      <alignment vertical="center"/>
    </xf>
    <xf numFmtId="177" fontId="7" fillId="0" borderId="0" xfId="4" applyFont="1" applyBorder="1" applyAlignment="1">
      <alignment vertical="center"/>
    </xf>
    <xf numFmtId="177" fontId="18" fillId="0" borderId="0" xfId="4" applyFont="1" applyBorder="1" applyAlignment="1">
      <alignment horizontal="center" vertical="center"/>
    </xf>
    <xf numFmtId="177" fontId="31" fillId="0" borderId="0" xfId="4" applyFont="1" applyBorder="1" applyAlignment="1">
      <alignment horizontal="center" vertical="center"/>
    </xf>
    <xf numFmtId="177" fontId="14" fillId="0" borderId="0" xfId="4" applyFont="1" applyBorder="1" applyAlignment="1">
      <alignment horizontal="center" vertical="center"/>
    </xf>
    <xf numFmtId="178" fontId="23" fillId="0" borderId="0" xfId="4" applyNumberFormat="1" applyFont="1" applyBorder="1" applyAlignment="1">
      <alignment horizontal="left" vertical="center"/>
    </xf>
    <xf numFmtId="31" fontId="23" fillId="0" borderId="0" xfId="4" applyNumberFormat="1" applyFont="1" applyBorder="1" applyAlignment="1">
      <alignment horizontal="left" vertical="center"/>
    </xf>
    <xf numFmtId="31" fontId="23" fillId="0" borderId="0" xfId="4" applyNumberFormat="1" applyFont="1" applyFill="1" applyBorder="1" applyAlignment="1">
      <alignment horizontal="left" vertical="center"/>
    </xf>
    <xf numFmtId="177" fontId="22" fillId="0" borderId="3" xfId="4" applyFont="1" applyBorder="1" applyAlignment="1"/>
    <xf numFmtId="31" fontId="23" fillId="0" borderId="1" xfId="4" applyNumberFormat="1" applyFont="1" applyBorder="1" applyAlignment="1">
      <alignment horizontal="left" vertical="center"/>
    </xf>
    <xf numFmtId="177" fontId="17" fillId="0" borderId="3" xfId="4" applyFont="1" applyBorder="1" applyAlignment="1">
      <alignment horizontal="right" vertical="center"/>
    </xf>
    <xf numFmtId="177" fontId="17" fillId="0" borderId="3" xfId="4" applyFont="1" applyBorder="1" applyAlignment="1">
      <alignment vertical="center"/>
    </xf>
    <xf numFmtId="177" fontId="18" fillId="0" borderId="0" xfId="6" applyFont="1" applyFill="1" applyAlignment="1">
      <alignment vertical="center" wrapText="1"/>
    </xf>
    <xf numFmtId="177" fontId="7" fillId="0" borderId="0" xfId="6" applyFont="1" applyFill="1" applyAlignment="1">
      <alignment vertical="center" wrapText="1"/>
    </xf>
    <xf numFmtId="177" fontId="12" fillId="0" borderId="3" xfId="6" applyFont="1" applyFill="1" applyBorder="1" applyAlignment="1">
      <alignment vertical="center" wrapText="1"/>
    </xf>
    <xf numFmtId="177" fontId="17" fillId="0" borderId="4" xfId="6" applyFont="1" applyFill="1" applyBorder="1" applyAlignment="1">
      <alignment vertical="center" wrapText="1"/>
    </xf>
    <xf numFmtId="177" fontId="17" fillId="0" borderId="3" xfId="6" applyFont="1" applyFill="1" applyBorder="1" applyAlignment="1">
      <alignment horizontal="right" wrapText="1"/>
    </xf>
    <xf numFmtId="177" fontId="17" fillId="0" borderId="3" xfId="6" applyFont="1" applyFill="1" applyBorder="1" applyAlignment="1">
      <alignment horizontal="center" wrapText="1"/>
    </xf>
    <xf numFmtId="177" fontId="11" fillId="0" borderId="0" xfId="6" applyFont="1" applyFill="1" applyBorder="1" applyAlignment="1">
      <alignment horizontal="right" vertical="center" wrapText="1"/>
    </xf>
    <xf numFmtId="177" fontId="11" fillId="0" borderId="3" xfId="6" applyFont="1" applyFill="1" applyBorder="1" applyAlignment="1">
      <alignment horizontal="right" vertical="center" wrapText="1"/>
    </xf>
    <xf numFmtId="177" fontId="17" fillId="0" borderId="4" xfId="6" applyFont="1" applyFill="1" applyBorder="1" applyAlignment="1">
      <alignment horizontal="center" wrapText="1"/>
    </xf>
    <xf numFmtId="177" fontId="28" fillId="0" borderId="0" xfId="0" applyFont="1" applyBorder="1">
      <alignment vertical="center"/>
    </xf>
    <xf numFmtId="177" fontId="0" fillId="0" borderId="3" xfId="0" applyBorder="1">
      <alignment vertical="center"/>
    </xf>
    <xf numFmtId="177" fontId="17" fillId="0" borderId="3" xfId="0" applyNumberFormat="1" applyFont="1" applyBorder="1" applyAlignment="1">
      <alignment vertical="center"/>
    </xf>
    <xf numFmtId="177" fontId="17" fillId="0" borderId="3" xfId="0" applyNumberFormat="1" applyFont="1" applyBorder="1" applyAlignment="1">
      <alignment vertical="center" wrapText="1"/>
    </xf>
    <xf numFmtId="0" fontId="0" fillId="0" borderId="0" xfId="0" applyNumberFormat="1" applyAlignment="1"/>
    <xf numFmtId="0" fontId="26" fillId="0" borderId="0" xfId="1" applyNumberFormat="1" applyFont="1" applyAlignment="1">
      <alignment horizontal="left" vertical="top"/>
    </xf>
    <xf numFmtId="0" fontId="23" fillId="0" borderId="0" xfId="4" applyNumberFormat="1" applyFont="1" applyBorder="1" applyAlignment="1">
      <alignment horizontal="left" vertical="center" wrapText="1"/>
    </xf>
    <xf numFmtId="0" fontId="23" fillId="0" borderId="0" xfId="4" applyNumberFormat="1" applyFont="1" applyFill="1" applyBorder="1" applyAlignment="1">
      <alignment horizontal="left" vertical="center" wrapText="1"/>
    </xf>
    <xf numFmtId="0" fontId="0" fillId="0" borderId="0" xfId="0" applyNumberFormat="1">
      <alignment vertical="center"/>
    </xf>
    <xf numFmtId="0" fontId="5" fillId="0" borderId="0" xfId="0" applyNumberFormat="1" applyFont="1" applyAlignment="1">
      <alignment horizontal="left" vertical="top"/>
    </xf>
    <xf numFmtId="49" fontId="23" fillId="0" borderId="0" xfId="4" applyNumberFormat="1" applyFont="1" applyBorder="1" applyAlignment="1">
      <alignment horizontal="left" vertical="center" wrapText="1"/>
    </xf>
    <xf numFmtId="177" fontId="41" fillId="0" borderId="0" xfId="4" applyFont="1" applyBorder="1" applyAlignment="1">
      <alignment vertical="center"/>
    </xf>
    <xf numFmtId="49" fontId="41" fillId="0" borderId="0" xfId="4" applyNumberFormat="1" applyFont="1" applyBorder="1" applyAlignment="1">
      <alignment horizontal="left" vertical="center"/>
    </xf>
    <xf numFmtId="49" fontId="41" fillId="0" borderId="1" xfId="4" applyNumberFormat="1" applyFont="1" applyBorder="1" applyAlignment="1">
      <alignment horizontal="left" vertical="center"/>
    </xf>
    <xf numFmtId="0" fontId="26" fillId="0" borderId="0" xfId="1" applyNumberFormat="1" applyFont="1" applyAlignment="1">
      <alignment horizontal="left"/>
    </xf>
    <xf numFmtId="0" fontId="27" fillId="0" borderId="0" xfId="1" applyNumberFormat="1" applyFont="1" applyAlignment="1">
      <alignment horizontal="left"/>
    </xf>
    <xf numFmtId="0" fontId="27" fillId="0" borderId="0" xfId="1" applyNumberFormat="1" applyFont="1" applyAlignment="1">
      <alignment horizontal="left" vertical="top"/>
    </xf>
    <xf numFmtId="0" fontId="5" fillId="5" borderId="0" xfId="0" applyNumberFormat="1" applyFont="1" applyFill="1" applyAlignment="1">
      <alignment horizontal="left" vertical="top"/>
    </xf>
    <xf numFmtId="0" fontId="8" fillId="0" borderId="0" xfId="0" applyNumberFormat="1" applyFont="1" applyAlignment="1">
      <alignment horizontal="left" vertical="top"/>
    </xf>
    <xf numFmtId="0" fontId="42" fillId="0" borderId="0" xfId="0" applyNumberFormat="1" applyFont="1" applyAlignment="1">
      <alignment horizontal="left" vertical="top"/>
    </xf>
    <xf numFmtId="0" fontId="37" fillId="0" borderId="0" xfId="0" applyNumberFormat="1" applyFont="1">
      <alignment vertical="center"/>
    </xf>
    <xf numFmtId="0" fontId="0" fillId="5" borderId="0" xfId="0" applyNumberFormat="1" applyFill="1">
      <alignment vertical="center"/>
    </xf>
    <xf numFmtId="0" fontId="0" fillId="7" borderId="0" xfId="0" applyNumberFormat="1" applyFill="1">
      <alignment vertical="center"/>
    </xf>
    <xf numFmtId="0" fontId="5" fillId="0" borderId="0" xfId="0" applyNumberFormat="1" applyFont="1" applyAlignment="1">
      <alignment horizontal="left" vertical="top" wrapText="1"/>
    </xf>
    <xf numFmtId="0" fontId="5" fillId="0" borderId="0" xfId="0" applyNumberFormat="1" applyFont="1" applyFill="1" applyAlignment="1">
      <alignment horizontal="left" vertical="top" wrapText="1"/>
    </xf>
    <xf numFmtId="0" fontId="5" fillId="5" borderId="0" xfId="0" applyNumberFormat="1" applyFont="1" applyFill="1" applyAlignment="1">
      <alignment horizontal="left" vertical="top" wrapText="1"/>
    </xf>
    <xf numFmtId="0" fontId="5" fillId="0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7" fontId="10" fillId="0" borderId="0" xfId="0" applyFont="1" applyAlignment="1">
      <alignment horizontal="center"/>
    </xf>
    <xf numFmtId="49" fontId="16" fillId="0" borderId="0" xfId="0" applyNumberFormat="1" applyFont="1" applyBorder="1" applyAlignment="1">
      <alignment horizontal="left" vertical="center"/>
    </xf>
    <xf numFmtId="177" fontId="17" fillId="0" borderId="3" xfId="0" applyNumberFormat="1" applyFont="1" applyBorder="1" applyAlignment="1">
      <alignment horizontal="left" vertical="center" wrapText="1"/>
    </xf>
    <xf numFmtId="49" fontId="14" fillId="0" borderId="3" xfId="0" applyNumberFormat="1" applyFont="1" applyBorder="1" applyAlignment="1">
      <alignment horizontal="center" vertical="top" wrapText="1"/>
    </xf>
    <xf numFmtId="177" fontId="20" fillId="0" borderId="0" xfId="6" applyFont="1" applyFill="1" applyAlignment="1">
      <alignment horizontal="left" vertical="center" wrapText="1"/>
    </xf>
    <xf numFmtId="177" fontId="35" fillId="0" borderId="3" xfId="6" applyNumberFormat="1" applyFont="1" applyFill="1" applyBorder="1" applyAlignment="1">
      <alignment horizontal="left" vertical="center" wrapText="1"/>
    </xf>
    <xf numFmtId="177" fontId="11" fillId="0" borderId="3" xfId="6" applyFont="1" applyFill="1" applyBorder="1" applyAlignment="1">
      <alignment horizontal="center" vertical="center" wrapText="1"/>
    </xf>
    <xf numFmtId="177" fontId="19" fillId="0" borderId="0" xfId="6" applyFont="1" applyFill="1" applyBorder="1" applyAlignment="1">
      <alignment horizontal="left" vertical="center"/>
    </xf>
    <xf numFmtId="177" fontId="20" fillId="0" borderId="0" xfId="0" applyFont="1" applyBorder="1" applyAlignment="1">
      <alignment vertical="center" wrapText="1"/>
    </xf>
    <xf numFmtId="177" fontId="20" fillId="0" borderId="0" xfId="0" applyFont="1" applyBorder="1" applyAlignment="1">
      <alignment horizontal="left" vertical="center" wrapText="1"/>
    </xf>
    <xf numFmtId="177" fontId="20" fillId="0" borderId="1" xfId="0" applyFont="1" applyBorder="1" applyAlignment="1">
      <alignment vertical="center" wrapText="1"/>
    </xf>
    <xf numFmtId="177" fontId="25" fillId="0" borderId="0" xfId="0" applyFont="1" applyBorder="1">
      <alignment vertical="center"/>
    </xf>
    <xf numFmtId="177" fontId="41" fillId="0" borderId="0" xfId="4" applyFont="1" applyBorder="1" applyAlignment="1">
      <alignment horizontal="center" vertical="center" wrapText="1"/>
    </xf>
    <xf numFmtId="177" fontId="44" fillId="0" borderId="0" xfId="0" applyFont="1" applyAlignment="1">
      <alignment vertical="center" wrapText="1"/>
    </xf>
    <xf numFmtId="177" fontId="41" fillId="0" borderId="0" xfId="4" applyFont="1" applyBorder="1" applyAlignment="1">
      <alignment vertical="center" wrapText="1"/>
    </xf>
    <xf numFmtId="177" fontId="13" fillId="0" borderId="0" xfId="4" applyFont="1" applyBorder="1" applyAlignment="1">
      <alignment horizontal="right" vertical="center"/>
    </xf>
    <xf numFmtId="177" fontId="13" fillId="0" borderId="0" xfId="4" applyFont="1" applyBorder="1" applyAlignment="1">
      <alignment horizontal="right" vertical="center" wrapText="1"/>
    </xf>
    <xf numFmtId="177" fontId="13" fillId="0" borderId="1" xfId="4" applyFont="1" applyBorder="1" applyAlignment="1">
      <alignment horizontal="right" vertical="center"/>
    </xf>
    <xf numFmtId="49" fontId="11" fillId="0" borderId="0" xfId="0" applyNumberFormat="1" applyFont="1" applyBorder="1" applyAlignment="1">
      <alignment horizontal="left" vertical="top" wrapText="1"/>
    </xf>
    <xf numFmtId="49" fontId="11" fillId="0" borderId="0" xfId="0" applyNumberFormat="1" applyFont="1" applyBorder="1" applyAlignment="1">
      <alignment horizontal="left" vertical="top"/>
    </xf>
    <xf numFmtId="49" fontId="38" fillId="0" borderId="0" xfId="0" applyNumberFormat="1" applyFont="1" applyBorder="1" applyAlignment="1">
      <alignment horizontal="left" vertical="top" wrapText="1"/>
    </xf>
    <xf numFmtId="177" fontId="38" fillId="0" borderId="0" xfId="0" applyFont="1" applyBorder="1" applyAlignment="1">
      <alignment horizontal="left" vertical="top" wrapText="1"/>
    </xf>
    <xf numFmtId="49" fontId="11" fillId="0" borderId="0" xfId="6" applyNumberFormat="1" applyFont="1" applyFill="1" applyBorder="1" applyAlignment="1">
      <alignment horizontal="left" vertical="top" wrapText="1"/>
    </xf>
    <xf numFmtId="177" fontId="11" fillId="0" borderId="0" xfId="6" applyFont="1" applyFill="1" applyBorder="1" applyAlignment="1">
      <alignment horizontal="left" vertical="top"/>
    </xf>
    <xf numFmtId="177" fontId="17" fillId="0" borderId="4" xfId="6" applyFont="1" applyFill="1" applyBorder="1" applyAlignment="1">
      <alignment horizontal="right" vertical="center" wrapText="1"/>
    </xf>
    <xf numFmtId="177" fontId="17" fillId="0" borderId="4" xfId="6" applyFont="1" applyFill="1" applyBorder="1" applyAlignment="1">
      <alignment horizontal="left" vertical="top"/>
    </xf>
    <xf numFmtId="49" fontId="13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Border="1" applyAlignment="1">
      <alignment horizontal="left" vertical="top" wrapText="1"/>
    </xf>
    <xf numFmtId="177" fontId="13" fillId="0" borderId="0" xfId="0" applyNumberFormat="1" applyFont="1" applyBorder="1" applyAlignment="1">
      <alignment vertical="center" wrapText="1"/>
    </xf>
    <xf numFmtId="49" fontId="39" fillId="0" borderId="0" xfId="0" applyNumberFormat="1" applyFont="1" applyAlignment="1">
      <alignment vertical="center" wrapText="1"/>
    </xf>
    <xf numFmtId="177" fontId="17" fillId="0" borderId="4" xfId="6" applyFont="1" applyFill="1" applyBorder="1" applyAlignment="1">
      <alignment vertical="top"/>
    </xf>
    <xf numFmtId="177" fontId="11" fillId="0" borderId="0" xfId="0" applyFont="1" applyBorder="1" applyAlignment="1">
      <alignment vertical="top" wrapText="1"/>
    </xf>
    <xf numFmtId="177" fontId="11" fillId="0" borderId="1" xfId="0" applyFont="1" applyBorder="1" applyAlignment="1">
      <alignment vertical="top" wrapText="1"/>
    </xf>
    <xf numFmtId="177" fontId="11" fillId="0" borderId="0" xfId="0" applyFont="1" applyBorder="1" applyAlignment="1">
      <alignment horizontal="left" vertical="top" wrapText="1"/>
    </xf>
    <xf numFmtId="177" fontId="11" fillId="0" borderId="1" xfId="0" applyFont="1" applyBorder="1" applyAlignment="1">
      <alignment horizontal="left" vertical="top" wrapText="1"/>
    </xf>
    <xf numFmtId="177" fontId="11" fillId="0" borderId="0" xfId="6" applyFont="1" applyFill="1" applyBorder="1" applyAlignment="1">
      <alignment horizontal="left" vertical="top" wrapText="1"/>
    </xf>
    <xf numFmtId="177" fontId="38" fillId="0" borderId="0" xfId="0" applyFont="1" applyAlignment="1">
      <alignment vertical="top" wrapText="1"/>
    </xf>
    <xf numFmtId="177" fontId="45" fillId="0" borderId="0" xfId="0" applyFont="1" applyBorder="1" applyAlignment="1">
      <alignment vertical="top" wrapText="1"/>
    </xf>
    <xf numFmtId="177" fontId="38" fillId="0" borderId="0" xfId="0" applyFont="1" applyAlignment="1">
      <alignment horizontal="left" vertical="top" wrapText="1"/>
    </xf>
    <xf numFmtId="177" fontId="45" fillId="0" borderId="0" xfId="0" applyFont="1" applyBorder="1" applyAlignment="1">
      <alignment horizontal="left" vertical="top" wrapText="1"/>
    </xf>
    <xf numFmtId="177" fontId="38" fillId="0" borderId="0" xfId="0" applyFont="1" applyAlignment="1">
      <alignment horizontal="left" vertical="top"/>
    </xf>
    <xf numFmtId="177" fontId="0" fillId="0" borderId="0" xfId="0" applyFill="1" applyAlignment="1">
      <alignment horizontal="left" vertical="center"/>
    </xf>
    <xf numFmtId="0" fontId="0" fillId="0" borderId="0" xfId="0" applyNumberFormat="1" applyFill="1">
      <alignment vertical="center"/>
    </xf>
    <xf numFmtId="0" fontId="24" fillId="0" borderId="0" xfId="2" applyNumberFormat="1" applyFont="1" applyAlignment="1">
      <alignment horizontal="left" vertical="top" wrapText="1"/>
    </xf>
    <xf numFmtId="0" fontId="24" fillId="0" borderId="0" xfId="0" applyNumberFormat="1" applyFont="1" applyAlignment="1">
      <alignment horizontal="left" vertical="top"/>
    </xf>
    <xf numFmtId="177" fontId="17" fillId="0" borderId="3" xfId="4" applyFont="1" applyBorder="1" applyAlignment="1">
      <alignment horizontal="center" vertical="center"/>
    </xf>
    <xf numFmtId="49" fontId="4" fillId="4" borderId="0" xfId="1" applyNumberFormat="1" applyFont="1" applyFill="1" applyAlignment="1">
      <alignment horizontal="center" vertical="top" wrapText="1"/>
    </xf>
    <xf numFmtId="49" fontId="4" fillId="2" borderId="0" xfId="1" applyNumberFormat="1" applyFont="1" applyFill="1" applyAlignment="1">
      <alignment horizontal="center" vertical="top" wrapText="1"/>
    </xf>
    <xf numFmtId="49" fontId="4" fillId="2" borderId="0" xfId="1" applyNumberFormat="1" applyFont="1" applyFill="1" applyAlignment="1">
      <alignment horizontal="left" vertical="top" wrapText="1"/>
    </xf>
    <xf numFmtId="0" fontId="8" fillId="0" borderId="0" xfId="0" applyNumberFormat="1" applyFont="1" applyAlignment="1">
      <alignment horizontal="center" vertical="top"/>
    </xf>
    <xf numFmtId="0" fontId="8" fillId="0" borderId="0" xfId="0" applyNumberFormat="1" applyFont="1" applyAlignment="1">
      <alignment horizontal="center" vertical="center"/>
    </xf>
    <xf numFmtId="177" fontId="21" fillId="0" borderId="0" xfId="0" applyFont="1" applyAlignment="1">
      <alignment horizontal="left" vertical="center" wrapText="1"/>
    </xf>
    <xf numFmtId="177" fontId="20" fillId="0" borderId="0" xfId="0" applyFont="1" applyAlignment="1">
      <alignment horizontal="left" vertical="center" wrapText="1"/>
    </xf>
    <xf numFmtId="177" fontId="10" fillId="0" borderId="0" xfId="0" applyFont="1" applyAlignment="1">
      <alignment horizontal="center"/>
    </xf>
    <xf numFmtId="177" fontId="11" fillId="0" borderId="0" xfId="0" applyFont="1" applyBorder="1" applyAlignment="1">
      <alignment horizontal="right"/>
    </xf>
    <xf numFmtId="49" fontId="13" fillId="0" borderId="0" xfId="0" applyNumberFormat="1" applyFont="1" applyBorder="1" applyAlignment="1">
      <alignment horizontal="center" vertical="center" wrapText="1"/>
    </xf>
    <xf numFmtId="177" fontId="0" fillId="0" borderId="0" xfId="0" applyBorder="1" applyAlignment="1">
      <alignment wrapText="1"/>
    </xf>
    <xf numFmtId="0" fontId="39" fillId="0" borderId="0" xfId="0" applyNumberFormat="1" applyFont="1" applyBorder="1" applyAlignment="1">
      <alignment horizontal="left" vertical="center" wrapText="1"/>
    </xf>
    <xf numFmtId="177" fontId="13" fillId="0" borderId="0" xfId="0" applyNumberFormat="1" applyFont="1" applyBorder="1" applyAlignment="1">
      <alignment horizontal="center" vertical="center" wrapText="1"/>
    </xf>
    <xf numFmtId="49" fontId="13" fillId="0" borderId="0" xfId="0" applyNumberFormat="1" applyFont="1" applyBorder="1" applyAlignment="1">
      <alignment horizontal="center" vertical="center"/>
    </xf>
    <xf numFmtId="177" fontId="20" fillId="0" borderId="1" xfId="0" applyFont="1" applyBorder="1" applyAlignment="1">
      <alignment horizontal="left"/>
    </xf>
    <xf numFmtId="0" fontId="39" fillId="0" borderId="0" xfId="0" applyNumberFormat="1" applyFont="1" applyBorder="1" applyAlignment="1">
      <alignment horizontal="left" vertical="center"/>
    </xf>
    <xf numFmtId="0" fontId="20" fillId="0" borderId="0" xfId="0" applyNumberFormat="1" applyFont="1" applyBorder="1" applyAlignment="1">
      <alignment horizontal="left" vertical="center"/>
    </xf>
    <xf numFmtId="177" fontId="13" fillId="0" borderId="0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 wrapText="1"/>
    </xf>
    <xf numFmtId="177" fontId="11" fillId="0" borderId="4" xfId="0" applyNumberFormat="1" applyFont="1" applyFill="1" applyBorder="1" applyAlignment="1">
      <alignment horizontal="left" vertical="top" wrapText="1"/>
    </xf>
    <xf numFmtId="177" fontId="17" fillId="0" borderId="3" xfId="0" applyNumberFormat="1" applyFont="1" applyBorder="1" applyAlignment="1">
      <alignment horizontal="left" vertical="center"/>
    </xf>
    <xf numFmtId="49" fontId="16" fillId="0" borderId="0" xfId="0" applyNumberFormat="1" applyFont="1" applyBorder="1" applyAlignment="1">
      <alignment horizontal="left" vertical="center"/>
    </xf>
    <xf numFmtId="49" fontId="15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left" vertical="center"/>
    </xf>
    <xf numFmtId="177" fontId="21" fillId="0" borderId="0" xfId="0" applyFont="1" applyAlignment="1">
      <alignment horizontal="left" vertical="center"/>
    </xf>
    <xf numFmtId="177" fontId="20" fillId="0" borderId="0" xfId="0" applyFont="1" applyAlignment="1">
      <alignment horizontal="left" vertical="center"/>
    </xf>
    <xf numFmtId="0" fontId="20" fillId="0" borderId="0" xfId="0" applyNumberFormat="1" applyFont="1" applyBorder="1" applyAlignment="1">
      <alignment horizontal="left" vertical="center" wrapText="1"/>
    </xf>
    <xf numFmtId="177" fontId="17" fillId="0" borderId="3" xfId="0" applyNumberFormat="1" applyFont="1" applyBorder="1" applyAlignment="1">
      <alignment horizontal="left" vertical="center" wrapText="1"/>
    </xf>
    <xf numFmtId="49" fontId="15" fillId="0" borderId="3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left" vertical="center"/>
    </xf>
    <xf numFmtId="177" fontId="14" fillId="0" borderId="3" xfId="0" applyNumberFormat="1" applyFont="1" applyBorder="1" applyAlignment="1">
      <alignment horizontal="left" vertical="center"/>
    </xf>
    <xf numFmtId="177" fontId="11" fillId="0" borderId="3" xfId="0" applyNumberFormat="1" applyFont="1" applyFill="1" applyBorder="1" applyAlignment="1">
      <alignment horizontal="left" vertical="top" wrapText="1"/>
    </xf>
    <xf numFmtId="177" fontId="20" fillId="0" borderId="0" xfId="7" applyFont="1" applyAlignment="1">
      <alignment horizontal="left" vertical="center"/>
    </xf>
    <xf numFmtId="177" fontId="38" fillId="0" borderId="1" xfId="0" applyFont="1" applyBorder="1" applyAlignment="1">
      <alignment horizontal="right" vertical="center"/>
    </xf>
    <xf numFmtId="177" fontId="7" fillId="0" borderId="0" xfId="0" applyFont="1" applyBorder="1" applyAlignment="1">
      <alignment wrapText="1"/>
    </xf>
    <xf numFmtId="49" fontId="39" fillId="0" borderId="0" xfId="0" applyNumberFormat="1" applyFont="1" applyBorder="1" applyAlignment="1">
      <alignment horizontal="left" vertical="center" wrapText="1"/>
    </xf>
    <xf numFmtId="177" fontId="39" fillId="0" borderId="0" xfId="0" applyFont="1" applyBorder="1" applyAlignment="1">
      <alignment horizontal="left" vertical="center" wrapText="1"/>
    </xf>
    <xf numFmtId="49" fontId="16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Border="1" applyAlignment="1">
      <alignment horizontal="left" vertical="top" wrapText="1"/>
    </xf>
    <xf numFmtId="0" fontId="39" fillId="0" borderId="0" xfId="0" applyNumberFormat="1" applyFont="1" applyBorder="1" applyAlignment="1">
      <alignment horizontal="left" vertical="top"/>
    </xf>
    <xf numFmtId="0" fontId="39" fillId="0" borderId="0" xfId="0" applyNumberFormat="1" applyFont="1" applyBorder="1" applyAlignment="1">
      <alignment horizontal="left" vertical="top" wrapText="1"/>
    </xf>
    <xf numFmtId="0" fontId="20" fillId="0" borderId="0" xfId="0" applyNumberFormat="1" applyFont="1" applyBorder="1" applyAlignment="1">
      <alignment horizontal="left" vertical="top"/>
    </xf>
    <xf numFmtId="0" fontId="20" fillId="0" borderId="0" xfId="0" applyNumberFormat="1" applyFont="1" applyBorder="1" applyAlignment="1">
      <alignment horizontal="left" wrapText="1"/>
    </xf>
    <xf numFmtId="0" fontId="20" fillId="0" borderId="0" xfId="0" applyNumberFormat="1" applyFont="1" applyBorder="1" applyAlignment="1">
      <alignment horizontal="left"/>
    </xf>
    <xf numFmtId="49" fontId="17" fillId="0" borderId="3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4" fillId="0" borderId="3" xfId="0" applyNumberFormat="1" applyFont="1" applyBorder="1" applyAlignment="1">
      <alignment horizontal="center" vertical="top" wrapText="1"/>
    </xf>
    <xf numFmtId="49" fontId="14" fillId="0" borderId="0" xfId="0" applyNumberFormat="1" applyFont="1" applyBorder="1" applyAlignment="1">
      <alignment horizontal="center" vertical="top" wrapText="1"/>
    </xf>
    <xf numFmtId="177" fontId="11" fillId="0" borderId="3" xfId="0" applyNumberFormat="1" applyFont="1" applyFill="1" applyBorder="1" applyAlignment="1">
      <alignment horizontal="left" vertical="center" wrapText="1"/>
    </xf>
    <xf numFmtId="177" fontId="11" fillId="0" borderId="0" xfId="0" applyNumberFormat="1" applyFont="1" applyFill="1" applyBorder="1" applyAlignment="1">
      <alignment horizontal="left" vertical="center" wrapText="1"/>
    </xf>
    <xf numFmtId="49" fontId="20" fillId="0" borderId="0" xfId="0" applyNumberFormat="1" applyFont="1" applyBorder="1" applyAlignment="1">
      <alignment horizontal="left" vertical="center" wrapText="1"/>
    </xf>
    <xf numFmtId="49" fontId="20" fillId="0" borderId="0" xfId="0" applyNumberFormat="1" applyFont="1" applyBorder="1" applyAlignment="1">
      <alignment horizontal="left" vertical="center"/>
    </xf>
    <xf numFmtId="177" fontId="13" fillId="0" borderId="0" xfId="3" applyNumberFormat="1" applyFont="1" applyFill="1" applyBorder="1" applyAlignment="1" applyProtection="1">
      <alignment horizontal="center" vertical="center" wrapText="1"/>
    </xf>
    <xf numFmtId="177" fontId="11" fillId="0" borderId="1" xfId="0" applyFont="1" applyBorder="1" applyAlignment="1">
      <alignment horizontal="left" wrapText="1"/>
    </xf>
    <xf numFmtId="177" fontId="13" fillId="0" borderId="0" xfId="3" applyNumberFormat="1" applyFont="1" applyFill="1" applyBorder="1" applyAlignment="1" applyProtection="1">
      <alignment horizontal="center" vertical="center"/>
    </xf>
    <xf numFmtId="177" fontId="17" fillId="0" borderId="0" xfId="4" applyFont="1" applyBorder="1" applyAlignment="1">
      <alignment horizontal="left" vertical="center"/>
    </xf>
    <xf numFmtId="177" fontId="29" fillId="0" borderId="0" xfId="5" applyNumberFormat="1" applyFont="1" applyAlignment="1">
      <alignment horizontal="center"/>
    </xf>
    <xf numFmtId="0" fontId="23" fillId="0" borderId="1" xfId="4" applyNumberFormat="1" applyFont="1" applyBorder="1" applyAlignment="1">
      <alignment horizontal="left" vertical="center" wrapText="1"/>
    </xf>
    <xf numFmtId="177" fontId="20" fillId="0" borderId="0" xfId="3" applyFont="1" applyAlignment="1">
      <alignment horizontal="left" vertical="center"/>
    </xf>
    <xf numFmtId="177" fontId="10" fillId="0" borderId="0" xfId="3" applyFont="1" applyAlignment="1">
      <alignment horizontal="center"/>
    </xf>
    <xf numFmtId="177" fontId="13" fillId="0" borderId="0" xfId="3" applyNumberFormat="1" applyFont="1" applyBorder="1" applyAlignment="1">
      <alignment horizontal="center" vertical="center"/>
    </xf>
    <xf numFmtId="49" fontId="13" fillId="0" borderId="0" xfId="3" applyNumberFormat="1" applyFont="1" applyBorder="1" applyAlignment="1">
      <alignment horizontal="center" vertical="center"/>
    </xf>
    <xf numFmtId="177" fontId="11" fillId="0" borderId="0" xfId="3" applyFont="1" applyBorder="1" applyAlignment="1">
      <alignment horizontal="right"/>
    </xf>
    <xf numFmtId="49" fontId="20" fillId="0" borderId="0" xfId="3" applyNumberFormat="1" applyFont="1" applyBorder="1" applyAlignment="1">
      <alignment horizontal="left" vertical="center" wrapText="1"/>
    </xf>
    <xf numFmtId="0" fontId="20" fillId="0" borderId="0" xfId="3" applyNumberFormat="1" applyFont="1" applyBorder="1" applyAlignment="1">
      <alignment horizontal="left" vertical="center" wrapText="1"/>
    </xf>
    <xf numFmtId="49" fontId="20" fillId="0" borderId="0" xfId="3" applyNumberFormat="1" applyFont="1" applyBorder="1" applyAlignment="1">
      <alignment horizontal="left" vertical="center"/>
    </xf>
    <xf numFmtId="0" fontId="20" fillId="0" borderId="0" xfId="3" applyNumberFormat="1" applyFont="1" applyBorder="1" applyAlignment="1">
      <alignment horizontal="left" vertical="center"/>
    </xf>
    <xf numFmtId="49" fontId="15" fillId="0" borderId="3" xfId="3" applyNumberFormat="1" applyFont="1" applyBorder="1" applyAlignment="1">
      <alignment horizontal="center" vertical="center"/>
    </xf>
    <xf numFmtId="49" fontId="16" fillId="0" borderId="3" xfId="3" applyNumberFormat="1" applyFont="1" applyBorder="1" applyAlignment="1">
      <alignment horizontal="left" vertical="center"/>
    </xf>
    <xf numFmtId="49" fontId="13" fillId="0" borderId="0" xfId="3" applyNumberFormat="1" applyFont="1" applyFill="1" applyBorder="1" applyAlignment="1">
      <alignment horizontal="center" vertical="center" wrapText="1"/>
    </xf>
    <xf numFmtId="177" fontId="14" fillId="0" borderId="3" xfId="6" applyFont="1" applyFill="1" applyBorder="1" applyAlignment="1">
      <alignment horizontal="center" vertical="center"/>
    </xf>
    <xf numFmtId="177" fontId="11" fillId="0" borderId="4" xfId="6" applyFont="1" applyFill="1" applyBorder="1" applyAlignment="1">
      <alignment horizontal="left" vertical="top" wrapText="1"/>
    </xf>
    <xf numFmtId="177" fontId="20" fillId="0" borderId="4" xfId="6" applyFont="1" applyFill="1" applyBorder="1" applyAlignment="1">
      <alignment horizontal="left" vertical="center" wrapText="1"/>
    </xf>
    <xf numFmtId="177" fontId="15" fillId="0" borderId="0" xfId="6" applyFont="1" applyFill="1" applyAlignment="1">
      <alignment horizontal="left" vertical="center" wrapText="1"/>
    </xf>
    <xf numFmtId="177" fontId="20" fillId="0" borderId="0" xfId="6" applyFont="1" applyFill="1" applyAlignment="1">
      <alignment horizontal="left" vertical="center" wrapText="1"/>
    </xf>
    <xf numFmtId="177" fontId="21" fillId="0" borderId="0" xfId="6" applyFont="1" applyFill="1" applyAlignment="1">
      <alignment horizontal="center" vertical="center" wrapText="1"/>
    </xf>
    <xf numFmtId="177" fontId="21" fillId="0" borderId="0" xfId="6" applyFont="1" applyFill="1" applyAlignment="1">
      <alignment horizontal="center" vertical="center"/>
    </xf>
    <xf numFmtId="177" fontId="11" fillId="0" borderId="0" xfId="6" applyFont="1" applyFill="1" applyBorder="1" applyAlignment="1">
      <alignment horizontal="left" vertical="center"/>
    </xf>
    <xf numFmtId="177" fontId="11" fillId="0" borderId="0" xfId="6" applyNumberFormat="1" applyFont="1" applyFill="1" applyBorder="1" applyAlignment="1">
      <alignment horizontal="left" vertical="center"/>
    </xf>
    <xf numFmtId="0" fontId="19" fillId="0" borderId="0" xfId="6" applyNumberFormat="1" applyFont="1" applyFill="1" applyBorder="1" applyAlignment="1">
      <alignment horizontal="left" vertical="center"/>
    </xf>
    <xf numFmtId="0" fontId="19" fillId="0" borderId="0" xfId="6" applyNumberFormat="1" applyFont="1" applyFill="1" applyBorder="1" applyAlignment="1">
      <alignment horizontal="left" vertical="center" wrapText="1"/>
    </xf>
    <xf numFmtId="177" fontId="34" fillId="0" borderId="0" xfId="6" applyFont="1" applyFill="1" applyBorder="1" applyAlignment="1">
      <alignment horizontal="center" vertical="center" wrapText="1"/>
    </xf>
    <xf numFmtId="177" fontId="34" fillId="0" borderId="0" xfId="6" applyFont="1" applyFill="1" applyBorder="1" applyAlignment="1">
      <alignment horizontal="center" vertical="center"/>
    </xf>
    <xf numFmtId="177" fontId="35" fillId="0" borderId="3" xfId="6" applyNumberFormat="1" applyFont="1" applyFill="1" applyBorder="1" applyAlignment="1">
      <alignment horizontal="left" vertical="center" wrapText="1"/>
    </xf>
    <xf numFmtId="177" fontId="14" fillId="0" borderId="3" xfId="6" applyFont="1" applyFill="1" applyBorder="1" applyAlignment="1">
      <alignment horizontal="center" vertical="center" wrapText="1"/>
    </xf>
    <xf numFmtId="177" fontId="17" fillId="0" borderId="3" xfId="6" applyFont="1" applyFill="1" applyBorder="1" applyAlignment="1">
      <alignment horizontal="right"/>
    </xf>
    <xf numFmtId="177" fontId="11" fillId="0" borderId="0" xfId="6" applyFont="1" applyFill="1" applyBorder="1" applyAlignment="1">
      <alignment horizontal="left" vertical="center" wrapText="1"/>
    </xf>
    <xf numFmtId="177" fontId="11" fillId="0" borderId="5" xfId="6" applyFont="1" applyFill="1" applyBorder="1" applyAlignment="1">
      <alignment horizontal="left" vertical="center" wrapText="1"/>
    </xf>
    <xf numFmtId="180" fontId="19" fillId="0" borderId="0" xfId="6" applyNumberFormat="1" applyFont="1" applyFill="1" applyBorder="1" applyAlignment="1">
      <alignment horizontal="left" vertical="center"/>
    </xf>
    <xf numFmtId="0" fontId="19" fillId="0" borderId="1" xfId="6" applyNumberFormat="1" applyFont="1" applyFill="1" applyBorder="1" applyAlignment="1">
      <alignment horizontal="left" vertical="center"/>
    </xf>
    <xf numFmtId="0" fontId="40" fillId="0" borderId="0" xfId="0" applyNumberFormat="1" applyFont="1" applyBorder="1" applyAlignment="1">
      <alignment horizontal="left" vertical="center" wrapText="1"/>
    </xf>
    <xf numFmtId="179" fontId="40" fillId="0" borderId="0" xfId="0" applyNumberFormat="1" applyFont="1" applyBorder="1" applyAlignment="1">
      <alignment horizontal="left" vertical="center" wrapText="1"/>
    </xf>
    <xf numFmtId="179" fontId="19" fillId="0" borderId="0" xfId="6" applyNumberFormat="1" applyFont="1" applyFill="1" applyBorder="1" applyAlignment="1">
      <alignment horizontal="left" vertical="center"/>
    </xf>
    <xf numFmtId="177" fontId="17" fillId="0" borderId="4" xfId="6" applyNumberFormat="1" applyFont="1" applyFill="1" applyBorder="1" applyAlignment="1">
      <alignment horizontal="center"/>
    </xf>
    <xf numFmtId="179" fontId="19" fillId="0" borderId="0" xfId="6" applyNumberFormat="1" applyFont="1" applyFill="1" applyBorder="1" applyAlignment="1">
      <alignment horizontal="left" vertical="center" wrapText="1"/>
    </xf>
    <xf numFmtId="177" fontId="11" fillId="0" borderId="0" xfId="6" applyFont="1" applyFill="1" applyBorder="1" applyAlignment="1">
      <alignment horizontal="right" vertical="center"/>
    </xf>
    <xf numFmtId="177" fontId="0" fillId="0" borderId="0" xfId="0" applyBorder="1" applyAlignment="1">
      <alignment horizontal="center" vertical="center"/>
    </xf>
    <xf numFmtId="177" fontId="11" fillId="0" borderId="4" xfId="6" applyFont="1" applyFill="1" applyBorder="1" applyAlignment="1">
      <alignment horizontal="left" vertical="center" wrapText="1"/>
    </xf>
  </cellXfs>
  <cellStyles count="8">
    <cellStyle name="常规" xfId="0" builtinId="0"/>
    <cellStyle name="常规 10 2 2 2 15" xfId="7"/>
    <cellStyle name="常规 10 2 2 5 2 2" xfId="3"/>
    <cellStyle name="常规 105 2" xfId="1"/>
    <cellStyle name="常规 106" xfId="2"/>
    <cellStyle name="常规 2 48" xfId="6"/>
    <cellStyle name="常规 2 48 8" xfId="4"/>
    <cellStyle name="常规 2 83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114300</xdr:rowOff>
    </xdr:from>
    <xdr:to>
      <xdr:col>2</xdr:col>
      <xdr:colOff>47625</xdr:colOff>
      <xdr:row>2</xdr:row>
      <xdr:rowOff>14404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1143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142875</xdr:rowOff>
    </xdr:from>
    <xdr:to>
      <xdr:col>2</xdr:col>
      <xdr:colOff>47625</xdr:colOff>
      <xdr:row>2</xdr:row>
      <xdr:rowOff>42979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1428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9525</xdr:rowOff>
    </xdr:from>
    <xdr:to>
      <xdr:col>2</xdr:col>
      <xdr:colOff>57150</xdr:colOff>
      <xdr:row>2</xdr:row>
      <xdr:rowOff>81079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047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2</xdr:col>
      <xdr:colOff>9525</xdr:colOff>
      <xdr:row>2</xdr:row>
      <xdr:rowOff>100129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2382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142875</xdr:rowOff>
    </xdr:from>
    <xdr:to>
      <xdr:col>2</xdr:col>
      <xdr:colOff>19050</xdr:colOff>
      <xdr:row>2</xdr:row>
      <xdr:rowOff>42979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1428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152400</xdr:rowOff>
    </xdr:from>
    <xdr:to>
      <xdr:col>2</xdr:col>
      <xdr:colOff>47625</xdr:colOff>
      <xdr:row>2</xdr:row>
      <xdr:rowOff>52504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" y="1524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142875</xdr:rowOff>
    </xdr:from>
    <xdr:to>
      <xdr:col>2</xdr:col>
      <xdr:colOff>57150</xdr:colOff>
      <xdr:row>2</xdr:row>
      <xdr:rowOff>42979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428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133350</xdr:rowOff>
    </xdr:from>
    <xdr:to>
      <xdr:col>2</xdr:col>
      <xdr:colOff>57150</xdr:colOff>
      <xdr:row>2</xdr:row>
      <xdr:rowOff>33454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3335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152400</xdr:rowOff>
    </xdr:from>
    <xdr:to>
      <xdr:col>2</xdr:col>
      <xdr:colOff>66675</xdr:colOff>
      <xdr:row>2</xdr:row>
      <xdr:rowOff>52504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1524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742950</xdr:colOff>
      <xdr:row>0</xdr:row>
      <xdr:rowOff>28575</xdr:rowOff>
    </xdr:from>
    <xdr:to>
      <xdr:col>3</xdr:col>
      <xdr:colOff>1809750</xdr:colOff>
      <xdr:row>4</xdr:row>
      <xdr:rowOff>23929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62600" y="285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66675</xdr:rowOff>
    </xdr:from>
    <xdr:to>
      <xdr:col>2</xdr:col>
      <xdr:colOff>38100</xdr:colOff>
      <xdr:row>1</xdr:row>
      <xdr:rowOff>233479</xdr:rowOff>
    </xdr:to>
    <xdr:pic>
      <xdr:nvPicPr>
        <xdr:cNvPr id="4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666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1</xdr:col>
      <xdr:colOff>1028700</xdr:colOff>
      <xdr:row>1</xdr:row>
      <xdr:rowOff>119179</xdr:rowOff>
    </xdr:to>
    <xdr:pic>
      <xdr:nvPicPr>
        <xdr:cNvPr id="4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285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66675</xdr:rowOff>
    </xdr:from>
    <xdr:to>
      <xdr:col>1</xdr:col>
      <xdr:colOff>1085850</xdr:colOff>
      <xdr:row>1</xdr:row>
      <xdr:rowOff>157279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6675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38100</xdr:rowOff>
    </xdr:from>
    <xdr:to>
      <xdr:col>2</xdr:col>
      <xdr:colOff>0</xdr:colOff>
      <xdr:row>1</xdr:row>
      <xdr:rowOff>128704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3810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1</xdr:col>
      <xdr:colOff>1076325</xdr:colOff>
      <xdr:row>1</xdr:row>
      <xdr:rowOff>109654</xdr:rowOff>
    </xdr:to>
    <xdr:pic>
      <xdr:nvPicPr>
        <xdr:cNvPr id="3" name="图片 5" descr="sio_10_logo_4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775" y="19050"/>
          <a:ext cx="1066800" cy="3382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H210"/>
  <sheetViews>
    <sheetView workbookViewId="0">
      <selection activeCell="O26" sqref="O26"/>
    </sheetView>
  </sheetViews>
  <sheetFormatPr defaultColWidth="21.125" defaultRowHeight="12"/>
  <cols>
    <col min="1" max="1" width="15" style="34" bestFit="1" customWidth="1"/>
    <col min="2" max="2" width="26.75" style="34" bestFit="1" customWidth="1"/>
    <col min="3" max="3" width="173.625" style="34" bestFit="1" customWidth="1"/>
    <col min="4" max="4" width="6.5" style="34" bestFit="1" customWidth="1"/>
    <col min="5" max="5" width="8" style="34" bestFit="1" customWidth="1"/>
    <col min="6" max="6" width="16.75" style="34" bestFit="1" customWidth="1"/>
    <col min="7" max="7" width="24.5" style="34" bestFit="1" customWidth="1"/>
    <col min="8" max="8" width="40.75" style="34" bestFit="1" customWidth="1"/>
    <col min="9" max="9" width="8" style="34" bestFit="1" customWidth="1"/>
    <col min="10" max="10" width="4.75" style="34" bestFit="1" customWidth="1"/>
    <col min="11" max="11" width="8.125" style="34" bestFit="1" customWidth="1"/>
    <col min="12" max="12" width="4.75" style="34" bestFit="1" customWidth="1"/>
    <col min="13" max="13" width="6.375" style="34" bestFit="1" customWidth="1"/>
    <col min="14" max="14" width="22.25" style="34" bestFit="1" customWidth="1"/>
    <col min="15" max="15" width="21" style="34" bestFit="1" customWidth="1"/>
    <col min="16" max="16" width="52.625" style="34" bestFit="1" customWidth="1"/>
    <col min="17" max="17" width="4.75" style="34" bestFit="1" customWidth="1"/>
    <col min="18" max="19" width="8" style="34" bestFit="1" customWidth="1"/>
    <col min="20" max="20" width="9.625" style="34" bestFit="1" customWidth="1"/>
    <col min="21" max="21" width="11.375" style="34" bestFit="1" customWidth="1"/>
    <col min="22" max="22" width="8" style="34" bestFit="1" customWidth="1"/>
    <col min="23" max="23" width="6.375" style="34" bestFit="1" customWidth="1"/>
    <col min="24" max="25" width="8" style="34" bestFit="1" customWidth="1"/>
    <col min="26" max="26" width="4.75" style="34" bestFit="1" customWidth="1"/>
    <col min="27" max="28" width="8" style="34" bestFit="1" customWidth="1"/>
    <col min="29" max="29" width="4.75" style="34" bestFit="1" customWidth="1"/>
    <col min="30" max="30" width="3.125" style="34" bestFit="1" customWidth="1"/>
    <col min="31" max="32" width="4.75" style="34" bestFit="1" customWidth="1"/>
    <col min="33" max="33" width="6.375" style="34" bestFit="1" customWidth="1"/>
    <col min="34" max="35" width="8" style="34" bestFit="1" customWidth="1"/>
    <col min="36" max="36" width="4.75" style="34" bestFit="1" customWidth="1"/>
    <col min="37" max="38" width="8" style="34" bestFit="1" customWidth="1"/>
    <col min="39" max="39" width="9.625" style="34" bestFit="1" customWidth="1"/>
    <col min="40" max="40" width="11.375" style="34" bestFit="1" customWidth="1"/>
    <col min="41" max="44" width="8" style="34" bestFit="1" customWidth="1"/>
    <col min="45" max="45" width="4.75" style="34" bestFit="1" customWidth="1"/>
    <col min="46" max="46" width="3.125" style="34" bestFit="1" customWidth="1"/>
    <col min="47" max="48" width="8" style="34" bestFit="1" customWidth="1"/>
    <col min="49" max="49" width="4.75" style="34" bestFit="1" customWidth="1"/>
    <col min="50" max="51" width="8" style="34" bestFit="1" customWidth="1"/>
    <col min="52" max="52" width="9.625" style="34" bestFit="1" customWidth="1"/>
    <col min="53" max="54" width="8" style="34" bestFit="1" customWidth="1"/>
    <col min="55" max="55" width="6.375" style="34" bestFit="1" customWidth="1"/>
    <col min="56" max="56" width="8" style="34" bestFit="1" customWidth="1"/>
    <col min="57" max="57" width="4.75" style="34" bestFit="1" customWidth="1"/>
    <col min="58" max="58" width="8" style="34" bestFit="1" customWidth="1"/>
    <col min="59" max="59" width="4.75" style="34" bestFit="1" customWidth="1"/>
    <col min="60" max="60" width="2.5" style="34" bestFit="1" customWidth="1"/>
    <col min="61" max="16384" width="21.125" style="34"/>
  </cols>
  <sheetData>
    <row r="1" spans="1:58">
      <c r="A1" s="31" t="s">
        <v>0</v>
      </c>
      <c r="B1" s="31"/>
      <c r="C1" s="31"/>
      <c r="D1" s="31"/>
      <c r="E1" s="32"/>
      <c r="F1" s="31" t="s">
        <v>1</v>
      </c>
      <c r="G1" s="31"/>
      <c r="H1" s="31"/>
      <c r="I1" s="31"/>
      <c r="J1" s="32"/>
      <c r="K1" s="32"/>
      <c r="L1" s="33"/>
      <c r="M1" s="33"/>
      <c r="N1" s="31" t="s">
        <v>2</v>
      </c>
      <c r="O1" s="31"/>
      <c r="P1" s="31"/>
      <c r="Q1" s="31"/>
      <c r="R1" s="33"/>
      <c r="S1" s="33"/>
      <c r="Y1" s="33"/>
      <c r="Z1" s="33"/>
      <c r="AA1" s="33"/>
      <c r="AB1" s="33"/>
      <c r="AC1" s="33"/>
      <c r="AD1" s="33"/>
      <c r="AE1" s="33"/>
      <c r="AF1" s="33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</row>
    <row r="2" spans="1:58">
      <c r="A2" s="36" t="s">
        <v>3</v>
      </c>
      <c r="B2" s="37"/>
      <c r="C2" s="37"/>
      <c r="D2" s="37"/>
      <c r="E2" s="32"/>
      <c r="F2" s="36" t="s">
        <v>4</v>
      </c>
      <c r="G2" s="79"/>
      <c r="H2" s="37"/>
      <c r="I2" s="32"/>
      <c r="J2" s="32"/>
      <c r="K2" s="32"/>
      <c r="L2" s="33"/>
      <c r="M2" s="33"/>
      <c r="N2" s="36" t="s">
        <v>5</v>
      </c>
      <c r="O2" s="78"/>
      <c r="P2" s="37"/>
      <c r="Q2" s="37"/>
      <c r="R2" s="33"/>
      <c r="S2" s="33"/>
      <c r="Y2" s="33"/>
      <c r="Z2" s="33"/>
      <c r="AA2" s="33"/>
      <c r="AB2" s="33"/>
      <c r="AC2" s="33"/>
      <c r="AD2" s="33"/>
      <c r="AE2" s="33"/>
      <c r="AF2" s="33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</row>
    <row r="3" spans="1:58">
      <c r="A3" s="36" t="s">
        <v>6</v>
      </c>
      <c r="B3" s="37"/>
      <c r="C3" s="37"/>
      <c r="D3" s="37"/>
      <c r="E3" s="32"/>
      <c r="F3" s="36" t="s">
        <v>7</v>
      </c>
      <c r="G3" s="80"/>
      <c r="H3" s="38"/>
      <c r="I3" s="32"/>
      <c r="J3" s="32"/>
      <c r="K3" s="32"/>
      <c r="L3" s="33"/>
      <c r="M3" s="33"/>
      <c r="N3" s="36" t="s">
        <v>8</v>
      </c>
      <c r="O3" s="78"/>
      <c r="P3" s="32"/>
      <c r="Q3" s="32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</row>
    <row r="4" spans="1:58">
      <c r="A4" s="36" t="s">
        <v>9</v>
      </c>
      <c r="B4" s="37"/>
      <c r="C4" s="37"/>
      <c r="D4" s="37"/>
      <c r="E4" s="32"/>
      <c r="F4" s="36" t="s">
        <v>116</v>
      </c>
      <c r="G4" s="80"/>
      <c r="H4" s="38"/>
      <c r="I4" s="32"/>
      <c r="J4" s="32"/>
      <c r="K4" s="32"/>
      <c r="L4" s="33"/>
      <c r="M4" s="33"/>
      <c r="N4" s="36" t="s">
        <v>10</v>
      </c>
      <c r="O4" s="78"/>
      <c r="P4" s="32"/>
      <c r="Q4" s="32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</row>
    <row r="5" spans="1:58">
      <c r="A5" s="36" t="s">
        <v>11</v>
      </c>
      <c r="B5" s="37"/>
      <c r="C5" s="37"/>
      <c r="D5" s="37"/>
      <c r="E5" s="32"/>
      <c r="F5" s="36" t="s">
        <v>12</v>
      </c>
      <c r="G5" s="80"/>
      <c r="H5" s="38"/>
      <c r="I5" s="37"/>
      <c r="J5" s="32"/>
      <c r="K5" s="32"/>
      <c r="L5" s="33"/>
      <c r="M5" s="33"/>
      <c r="N5" s="33"/>
      <c r="O5" s="39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</row>
    <row r="6" spans="1:58">
      <c r="A6" s="36" t="s">
        <v>13</v>
      </c>
      <c r="B6" s="37"/>
      <c r="C6" s="37"/>
      <c r="D6" s="37"/>
      <c r="E6" s="32"/>
      <c r="F6" s="36" t="s">
        <v>14</v>
      </c>
      <c r="G6" s="80"/>
      <c r="H6" s="38"/>
      <c r="I6" s="37"/>
      <c r="J6" s="32"/>
      <c r="K6" s="32"/>
      <c r="L6" s="33"/>
      <c r="M6" s="33"/>
      <c r="N6" s="33"/>
      <c r="O6" s="39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</row>
    <row r="7" spans="1:58">
      <c r="A7" s="36" t="s">
        <v>15</v>
      </c>
      <c r="B7" s="37"/>
      <c r="C7" s="32"/>
      <c r="D7" s="32"/>
      <c r="E7" s="32"/>
      <c r="F7" s="36" t="s">
        <v>16</v>
      </c>
      <c r="G7" s="80"/>
      <c r="H7" s="38"/>
      <c r="I7" s="32"/>
      <c r="J7" s="32"/>
      <c r="K7" s="32"/>
      <c r="L7" s="33"/>
      <c r="M7" s="33"/>
      <c r="N7" s="33"/>
      <c r="O7" s="39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</row>
    <row r="8" spans="1:58">
      <c r="A8" s="36" t="s">
        <v>17</v>
      </c>
      <c r="B8" s="37"/>
      <c r="C8" s="32"/>
      <c r="D8" s="32"/>
      <c r="E8" s="32"/>
      <c r="F8" s="36" t="s">
        <v>18</v>
      </c>
      <c r="G8" s="80"/>
      <c r="H8" s="38"/>
      <c r="I8" s="32"/>
      <c r="J8" s="32"/>
      <c r="K8" s="32"/>
      <c r="L8" s="33"/>
      <c r="M8" s="33"/>
      <c r="N8" s="33"/>
      <c r="O8" s="39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</row>
    <row r="9" spans="1:58">
      <c r="A9" s="36" t="s">
        <v>19</v>
      </c>
      <c r="B9" s="37"/>
      <c r="C9" s="32"/>
      <c r="D9" s="32"/>
      <c r="E9" s="32"/>
      <c r="F9" s="36" t="s">
        <v>21</v>
      </c>
      <c r="G9" s="80"/>
      <c r="H9" s="40"/>
      <c r="I9" s="37"/>
      <c r="J9" s="38"/>
      <c r="K9" s="37"/>
      <c r="L9" s="37"/>
      <c r="M9" s="33"/>
      <c r="N9" s="31" t="s">
        <v>22</v>
      </c>
      <c r="O9" s="31"/>
      <c r="P9" s="31"/>
      <c r="Q9" s="31"/>
      <c r="R9" s="69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</row>
    <row r="10" spans="1:58">
      <c r="A10" s="32"/>
      <c r="B10" s="32"/>
      <c r="C10" s="32"/>
      <c r="D10" s="32"/>
      <c r="E10" s="32"/>
      <c r="F10" s="36" t="s">
        <v>23</v>
      </c>
      <c r="G10" s="80"/>
      <c r="H10" s="38"/>
      <c r="I10" s="32"/>
      <c r="J10" s="32"/>
      <c r="K10" s="32"/>
      <c r="L10" s="33"/>
      <c r="M10" s="33"/>
      <c r="N10" s="36" t="s">
        <v>24</v>
      </c>
      <c r="O10" s="85"/>
      <c r="P10" s="37"/>
      <c r="Q10" s="37"/>
      <c r="R10" s="32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</row>
    <row r="11" spans="1:58">
      <c r="A11" s="41"/>
      <c r="B11" s="41"/>
      <c r="C11" s="41"/>
      <c r="D11" s="41"/>
      <c r="E11" s="41"/>
      <c r="F11" s="36" t="s">
        <v>25</v>
      </c>
      <c r="G11" s="80"/>
      <c r="H11" s="41"/>
      <c r="I11" s="41"/>
      <c r="J11" s="41"/>
      <c r="K11" s="41"/>
      <c r="L11" s="33"/>
      <c r="M11" s="33"/>
      <c r="N11" s="36" t="s">
        <v>26</v>
      </c>
      <c r="O11" s="85"/>
      <c r="P11" s="37"/>
      <c r="Q11" s="37"/>
      <c r="R11" s="32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</row>
    <row r="12" spans="1:58">
      <c r="A12" s="38"/>
      <c r="B12" s="38"/>
      <c r="C12" s="32"/>
      <c r="D12" s="32"/>
      <c r="E12" s="32"/>
      <c r="F12" s="36" t="s">
        <v>117</v>
      </c>
      <c r="G12" s="80"/>
      <c r="H12" s="32"/>
      <c r="I12" s="32"/>
      <c r="J12" s="32"/>
      <c r="K12" s="32"/>
      <c r="L12" s="33"/>
      <c r="M12" s="33"/>
      <c r="N12" s="36" t="s">
        <v>118</v>
      </c>
      <c r="O12" s="85"/>
      <c r="P12" s="32"/>
      <c r="Q12" s="32"/>
      <c r="R12" s="32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</row>
    <row r="13" spans="1:58">
      <c r="A13" s="31" t="s">
        <v>27</v>
      </c>
      <c r="B13" s="31"/>
      <c r="C13" s="31"/>
      <c r="D13" s="31"/>
      <c r="E13" s="32"/>
      <c r="F13" s="42"/>
      <c r="G13" s="40"/>
      <c r="H13" s="32"/>
      <c r="I13" s="32"/>
      <c r="J13" s="41"/>
      <c r="K13" s="32"/>
      <c r="L13" s="33"/>
      <c r="M13" s="33"/>
      <c r="N13" s="33"/>
      <c r="O13" s="39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</row>
    <row r="14" spans="1:58">
      <c r="A14" s="36" t="s">
        <v>28</v>
      </c>
      <c r="B14" s="85"/>
      <c r="C14" s="37"/>
      <c r="D14" s="37"/>
      <c r="E14" s="32"/>
      <c r="F14" s="33"/>
      <c r="G14" s="32"/>
      <c r="H14" s="32"/>
      <c r="I14" s="32"/>
      <c r="J14" s="32"/>
      <c r="K14" s="32"/>
      <c r="L14" s="33"/>
      <c r="M14" s="33"/>
      <c r="N14" s="33"/>
      <c r="O14" s="39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</row>
    <row r="15" spans="1:58">
      <c r="A15" s="38"/>
      <c r="B15" s="38"/>
      <c r="C15" s="32"/>
      <c r="D15" s="32"/>
      <c r="E15" s="32"/>
      <c r="F15" s="33"/>
      <c r="G15" s="33"/>
      <c r="H15" s="33"/>
      <c r="I15" s="32"/>
      <c r="J15" s="32"/>
      <c r="K15" s="32"/>
      <c r="L15" s="33"/>
      <c r="M15" s="33"/>
      <c r="N15" s="33"/>
      <c r="O15" s="39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</row>
    <row r="16" spans="1:58">
      <c r="A16" s="38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3"/>
      <c r="M16" s="33"/>
      <c r="N16" s="33"/>
      <c r="O16" s="39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</row>
    <row r="17" spans="1:60">
      <c r="A17" s="31" t="s">
        <v>29</v>
      </c>
      <c r="B17" s="43"/>
      <c r="C17" s="43"/>
      <c r="D17" s="43"/>
      <c r="E17" s="32"/>
      <c r="F17" s="91" t="s">
        <v>177</v>
      </c>
      <c r="G17" s="43"/>
      <c r="H17" s="43"/>
      <c r="I17" s="43"/>
      <c r="J17" s="41"/>
      <c r="K17" s="41"/>
      <c r="L17" s="33"/>
      <c r="M17" s="33"/>
      <c r="N17" s="33"/>
      <c r="O17" s="39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5"/>
      <c r="BE17" s="35"/>
      <c r="BF17" s="35"/>
    </row>
    <row r="18" spans="1:60">
      <c r="A18" s="36" t="s">
        <v>30</v>
      </c>
      <c r="B18" s="214"/>
      <c r="C18" s="37"/>
      <c r="D18" s="37"/>
      <c r="E18" s="32"/>
      <c r="F18" s="92" t="s">
        <v>30</v>
      </c>
      <c r="G18" s="223"/>
      <c r="H18" s="37"/>
      <c r="I18" s="37"/>
      <c r="J18" s="41"/>
      <c r="K18" s="41"/>
      <c r="L18" s="33"/>
      <c r="M18" s="33"/>
      <c r="N18" s="33"/>
      <c r="O18" s="39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5"/>
      <c r="BE18" s="35"/>
      <c r="BF18" s="35"/>
    </row>
    <row r="19" spans="1:60">
      <c r="A19" s="36" t="s">
        <v>31</v>
      </c>
      <c r="B19" s="214"/>
      <c r="C19" s="37"/>
      <c r="D19" s="37"/>
      <c r="E19" s="32"/>
      <c r="F19" s="92" t="s">
        <v>31</v>
      </c>
      <c r="G19" s="223"/>
      <c r="H19" s="37"/>
      <c r="I19" s="37"/>
      <c r="J19" s="41"/>
      <c r="K19" s="41"/>
      <c r="L19" s="33"/>
      <c r="M19" s="33"/>
      <c r="N19" s="33"/>
      <c r="O19" s="39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5"/>
      <c r="BE19" s="35"/>
      <c r="BF19" s="35"/>
    </row>
    <row r="20" spans="1:60">
      <c r="A20" s="36" t="s">
        <v>32</v>
      </c>
      <c r="B20" s="214"/>
      <c r="C20" s="37"/>
      <c r="D20" s="37"/>
      <c r="E20" s="32"/>
      <c r="F20" s="92" t="s">
        <v>32</v>
      </c>
      <c r="G20" s="223"/>
      <c r="H20" s="37"/>
      <c r="I20" s="37"/>
      <c r="J20" s="32"/>
      <c r="K20" s="32"/>
      <c r="L20" s="33"/>
      <c r="M20" s="33"/>
      <c r="N20" s="33"/>
      <c r="O20" s="39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5"/>
      <c r="BE20" s="35"/>
      <c r="BF20" s="35"/>
    </row>
    <row r="21" spans="1:60">
      <c r="A21" s="36" t="s">
        <v>121</v>
      </c>
      <c r="B21" s="225"/>
      <c r="C21" s="37"/>
      <c r="D21" s="37"/>
      <c r="E21" s="38"/>
      <c r="F21" s="92" t="s">
        <v>121</v>
      </c>
      <c r="G21" s="224"/>
      <c r="H21" s="37"/>
      <c r="I21" s="37"/>
      <c r="J21" s="32"/>
      <c r="K21" s="32"/>
      <c r="L21" s="33"/>
      <c r="M21" s="33"/>
      <c r="N21" s="33"/>
      <c r="O21" s="39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5"/>
      <c r="BE21" s="35"/>
      <c r="BF21" s="35"/>
    </row>
    <row r="22" spans="1:60">
      <c r="A22" s="36" t="s">
        <v>33</v>
      </c>
      <c r="B22" s="225"/>
      <c r="C22" s="33"/>
      <c r="D22" s="33"/>
      <c r="E22" s="33"/>
      <c r="F22" s="92" t="s">
        <v>33</v>
      </c>
      <c r="G22" s="224"/>
      <c r="H22" s="33"/>
      <c r="I22" s="33"/>
      <c r="J22" s="33"/>
      <c r="K22" s="33"/>
      <c r="L22" s="33"/>
      <c r="M22" s="33"/>
      <c r="N22" s="33"/>
      <c r="O22" s="39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5"/>
      <c r="BE22" s="35"/>
      <c r="BF22" s="35"/>
    </row>
    <row r="23" spans="1:60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9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5"/>
      <c r="BE23" s="35"/>
      <c r="BF23" s="35"/>
    </row>
    <row r="24" spans="1:60" ht="12.75" customHeight="1">
      <c r="A24" s="284" t="s">
        <v>134</v>
      </c>
      <c r="B24" s="284"/>
      <c r="C24" s="284"/>
      <c r="D24" s="284"/>
      <c r="E24" s="284"/>
      <c r="F24" s="284"/>
      <c r="G24" s="284"/>
      <c r="H24" s="44"/>
      <c r="I24" s="44"/>
      <c r="J24" s="44"/>
      <c r="K24" s="44"/>
      <c r="L24" s="44"/>
      <c r="M24" s="44"/>
      <c r="N24" s="44"/>
      <c r="O24" s="45"/>
      <c r="P24" s="44"/>
      <c r="Q24" s="44"/>
      <c r="R24" s="44"/>
      <c r="S24" s="44"/>
      <c r="T24" s="283" t="s">
        <v>34</v>
      </c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5" t="s">
        <v>35</v>
      </c>
      <c r="AN24" s="285"/>
      <c r="AO24" s="285"/>
      <c r="AP24" s="285"/>
      <c r="AQ24" s="285"/>
      <c r="AR24" s="285"/>
      <c r="AS24" s="285"/>
      <c r="AT24" s="285"/>
      <c r="AU24" s="285"/>
      <c r="AV24" s="285"/>
      <c r="AW24" s="285"/>
      <c r="AX24" s="285"/>
      <c r="AY24" s="283" t="s">
        <v>36</v>
      </c>
      <c r="AZ24" s="283"/>
      <c r="BA24" s="283"/>
      <c r="BB24" s="283"/>
      <c r="BC24" s="283"/>
      <c r="BD24" s="283"/>
      <c r="BE24" s="283"/>
      <c r="BF24" s="283"/>
      <c r="BG24" s="283"/>
    </row>
    <row r="25" spans="1:60" ht="24">
      <c r="A25" s="46" t="s">
        <v>37</v>
      </c>
      <c r="B25" s="46" t="s">
        <v>38</v>
      </c>
      <c r="C25" s="46" t="s">
        <v>39</v>
      </c>
      <c r="D25" s="46" t="s">
        <v>40</v>
      </c>
      <c r="E25" s="46" t="s">
        <v>41</v>
      </c>
      <c r="F25" s="46" t="s">
        <v>42</v>
      </c>
      <c r="G25" s="46" t="s">
        <v>43</v>
      </c>
      <c r="H25" s="46" t="s">
        <v>44</v>
      </c>
      <c r="I25" s="46" t="s">
        <v>45</v>
      </c>
      <c r="J25" s="46" t="s">
        <v>46</v>
      </c>
      <c r="K25" s="46" t="s">
        <v>47</v>
      </c>
      <c r="L25" s="46" t="s">
        <v>48</v>
      </c>
      <c r="M25" s="46" t="s">
        <v>49</v>
      </c>
      <c r="N25" s="46" t="s">
        <v>50</v>
      </c>
      <c r="O25" s="47" t="s">
        <v>51</v>
      </c>
      <c r="P25" s="46" t="s">
        <v>119</v>
      </c>
      <c r="Q25" s="46" t="s">
        <v>52</v>
      </c>
      <c r="R25" s="46" t="s">
        <v>53</v>
      </c>
      <c r="S25" s="46" t="s">
        <v>54</v>
      </c>
      <c r="T25" s="46" t="s">
        <v>37</v>
      </c>
      <c r="U25" s="46" t="s">
        <v>38</v>
      </c>
      <c r="V25" s="46" t="s">
        <v>39</v>
      </c>
      <c r="W25" s="46" t="s">
        <v>40</v>
      </c>
      <c r="X25" s="46" t="s">
        <v>41</v>
      </c>
      <c r="Y25" s="46" t="s">
        <v>42</v>
      </c>
      <c r="Z25" s="46" t="s">
        <v>43</v>
      </c>
      <c r="AA25" s="46" t="s">
        <v>44</v>
      </c>
      <c r="AB25" s="46" t="s">
        <v>45</v>
      </c>
      <c r="AC25" s="46" t="s">
        <v>46</v>
      </c>
      <c r="AD25" s="46" t="s">
        <v>47</v>
      </c>
      <c r="AE25" s="46" t="s">
        <v>48</v>
      </c>
      <c r="AF25" s="81" t="s">
        <v>49</v>
      </c>
      <c r="AG25" s="81" t="s">
        <v>50</v>
      </c>
      <c r="AH25" s="90" t="s">
        <v>51</v>
      </c>
      <c r="AI25" s="46" t="s">
        <v>119</v>
      </c>
      <c r="AJ25" s="46" t="s">
        <v>52</v>
      </c>
      <c r="AK25" s="46" t="s">
        <v>53</v>
      </c>
      <c r="AL25" s="46" t="s">
        <v>54</v>
      </c>
      <c r="AM25" s="46" t="s">
        <v>37</v>
      </c>
      <c r="AN25" s="46" t="s">
        <v>38</v>
      </c>
      <c r="AO25" s="46" t="s">
        <v>39</v>
      </c>
      <c r="AP25" s="46" t="s">
        <v>42</v>
      </c>
      <c r="AQ25" s="46" t="s">
        <v>44</v>
      </c>
      <c r="AR25" s="46" t="s">
        <v>45</v>
      </c>
      <c r="AS25" s="46" t="s">
        <v>46</v>
      </c>
      <c r="AT25" s="46" t="s">
        <v>47</v>
      </c>
      <c r="AU25" s="46" t="s">
        <v>169</v>
      </c>
      <c r="AV25" s="46" t="s">
        <v>167</v>
      </c>
      <c r="AW25" s="46" t="s">
        <v>52</v>
      </c>
      <c r="AX25" s="46" t="s">
        <v>53</v>
      </c>
      <c r="AY25" s="46" t="s">
        <v>120</v>
      </c>
      <c r="AZ25" s="46" t="s">
        <v>37</v>
      </c>
      <c r="BA25" s="46" t="s">
        <v>38</v>
      </c>
      <c r="BB25" s="46" t="s">
        <v>39</v>
      </c>
      <c r="BC25" s="46" t="s">
        <v>40</v>
      </c>
      <c r="BD25" s="46" t="s">
        <v>41</v>
      </c>
      <c r="BE25" s="46" t="s">
        <v>43</v>
      </c>
      <c r="BF25" s="46" t="s">
        <v>44</v>
      </c>
      <c r="BG25" s="46" t="s">
        <v>119</v>
      </c>
    </row>
    <row r="26" spans="1:60" s="55" customFormat="1" ht="13.5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9"/>
      <c r="P26" s="98"/>
      <c r="Q26" s="104"/>
      <c r="R26" s="100"/>
      <c r="S26" s="100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9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100"/>
      <c r="AV26" s="100"/>
      <c r="AW26" s="100"/>
      <c r="AX26" s="100"/>
      <c r="AY26" s="100"/>
      <c r="AZ26" s="100"/>
      <c r="BA26" s="100"/>
      <c r="BB26" s="100"/>
      <c r="BC26" s="100"/>
      <c r="BD26" s="97"/>
      <c r="BE26" s="98"/>
      <c r="BF26" s="98"/>
      <c r="BG26" s="98"/>
      <c r="BH26" s="213">
        <f>IF(LEN(BG26)=0,BC26,BG26)</f>
        <v>0</v>
      </c>
    </row>
    <row r="27" spans="1:60" s="55" customFormat="1" ht="13.5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9"/>
      <c r="P27" s="98"/>
      <c r="Q27" s="98"/>
      <c r="R27" s="100"/>
      <c r="S27" s="100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9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100"/>
      <c r="AV27" s="100"/>
      <c r="AW27" s="100"/>
      <c r="AX27" s="100"/>
      <c r="AY27" s="100"/>
      <c r="AZ27" s="100"/>
      <c r="BA27" s="100"/>
      <c r="BB27" s="100"/>
      <c r="BC27" s="100"/>
      <c r="BD27" s="97"/>
      <c r="BE27" s="98"/>
      <c r="BF27" s="98"/>
      <c r="BG27" s="98"/>
      <c r="BH27" s="213">
        <f t="shared" ref="BH27:BH33" si="0">IF(LEN(BG27)=0,BC27,BG27)</f>
        <v>0</v>
      </c>
    </row>
    <row r="28" spans="1:60" s="55" customFormat="1" ht="13.5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9"/>
      <c r="P28" s="98"/>
      <c r="Q28" s="98"/>
      <c r="R28" s="100"/>
      <c r="S28" s="100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9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100"/>
      <c r="AV28" s="100"/>
      <c r="AW28" s="100"/>
      <c r="AX28" s="100"/>
      <c r="AY28" s="100"/>
      <c r="AZ28" s="100"/>
      <c r="BA28" s="100"/>
      <c r="BB28" s="100"/>
      <c r="BC28" s="100"/>
      <c r="BD28" s="97"/>
      <c r="BE28" s="98"/>
      <c r="BF28" s="98"/>
      <c r="BG28" s="98"/>
      <c r="BH28" s="213">
        <f t="shared" si="0"/>
        <v>0</v>
      </c>
    </row>
    <row r="29" spans="1:60" s="55" customFormat="1" ht="13.5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9"/>
      <c r="P29" s="98"/>
      <c r="Q29" s="98"/>
      <c r="R29" s="100"/>
      <c r="S29" s="100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9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100"/>
      <c r="AV29" s="100"/>
      <c r="AW29" s="100"/>
      <c r="AX29" s="100"/>
      <c r="AY29" s="100"/>
      <c r="AZ29" s="100"/>
      <c r="BA29" s="100"/>
      <c r="BB29" s="100"/>
      <c r="BC29" s="100"/>
      <c r="BD29" s="97"/>
      <c r="BE29" s="98"/>
      <c r="BF29" s="98"/>
      <c r="BG29" s="98"/>
      <c r="BH29" s="213">
        <f t="shared" si="0"/>
        <v>0</v>
      </c>
    </row>
    <row r="30" spans="1:60" s="55" customFormat="1" ht="13.5">
      <c r="A30" s="98"/>
      <c r="B30" s="104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9"/>
      <c r="P30" s="98"/>
      <c r="Q30" s="98"/>
      <c r="R30" s="100"/>
      <c r="S30" s="100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9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100"/>
      <c r="AV30" s="100"/>
      <c r="AW30" s="100"/>
      <c r="AX30" s="100"/>
      <c r="AY30" s="100"/>
      <c r="AZ30" s="100"/>
      <c r="BA30" s="100"/>
      <c r="BB30" s="100"/>
      <c r="BC30" s="100"/>
      <c r="BD30" s="97"/>
      <c r="BE30" s="98"/>
      <c r="BF30" s="98"/>
      <c r="BG30" s="98"/>
      <c r="BH30" s="213">
        <f t="shared" si="0"/>
        <v>0</v>
      </c>
    </row>
    <row r="31" spans="1:60" s="55" customFormat="1" ht="13.5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9"/>
      <c r="P31" s="98"/>
      <c r="Q31" s="98"/>
      <c r="R31" s="100"/>
      <c r="S31" s="100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9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100"/>
      <c r="AV31" s="100"/>
      <c r="AW31" s="100"/>
      <c r="AX31" s="100"/>
      <c r="AY31" s="100"/>
      <c r="AZ31" s="100"/>
      <c r="BA31" s="100"/>
      <c r="BB31" s="100"/>
      <c r="BC31" s="100"/>
      <c r="BD31" s="97"/>
      <c r="BE31" s="98"/>
      <c r="BF31" s="98"/>
      <c r="BG31" s="98"/>
      <c r="BH31" s="213">
        <f t="shared" si="0"/>
        <v>0</v>
      </c>
    </row>
    <row r="32" spans="1:60" s="55" customFormat="1" ht="13.5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9"/>
      <c r="P32" s="98"/>
      <c r="Q32" s="98"/>
      <c r="R32" s="100"/>
      <c r="S32" s="100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9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100"/>
      <c r="AV32" s="100"/>
      <c r="AW32" s="100"/>
      <c r="AX32" s="100"/>
      <c r="AY32" s="100"/>
      <c r="AZ32" s="100"/>
      <c r="BA32" s="100"/>
      <c r="BB32" s="100"/>
      <c r="BC32" s="100"/>
      <c r="BD32" s="97"/>
      <c r="BE32" s="98"/>
      <c r="BF32" s="98"/>
      <c r="BG32" s="98"/>
      <c r="BH32" s="213">
        <f t="shared" si="0"/>
        <v>0</v>
      </c>
    </row>
    <row r="33" spans="1:60" s="55" customFormat="1" ht="13.5">
      <c r="A33" s="98"/>
      <c r="B33" s="98"/>
      <c r="C33" s="104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9"/>
      <c r="P33" s="98"/>
      <c r="Q33" s="98"/>
      <c r="R33" s="100"/>
      <c r="S33" s="100"/>
      <c r="T33" s="98"/>
      <c r="U33" s="98"/>
      <c r="V33" s="104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9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100"/>
      <c r="AV33" s="100"/>
      <c r="AW33" s="100"/>
      <c r="AX33" s="100"/>
      <c r="AY33" s="100"/>
      <c r="AZ33" s="100"/>
      <c r="BA33" s="100"/>
      <c r="BB33" s="100"/>
      <c r="BC33" s="100"/>
      <c r="BD33" s="97"/>
      <c r="BE33" s="98"/>
      <c r="BF33" s="98"/>
      <c r="BG33" s="98"/>
      <c r="BH33" s="213">
        <f t="shared" si="0"/>
        <v>0</v>
      </c>
    </row>
    <row r="34" spans="1:60" s="55" customFormat="1" ht="13.5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9"/>
      <c r="P34" s="98"/>
      <c r="Q34" s="98"/>
      <c r="R34" s="100"/>
      <c r="S34" s="100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9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100"/>
      <c r="AV34" s="100"/>
      <c r="AW34" s="100"/>
      <c r="AX34" s="100"/>
      <c r="AY34" s="100"/>
      <c r="AZ34" s="100"/>
      <c r="BA34" s="100"/>
      <c r="BB34" s="100"/>
      <c r="BC34" s="100"/>
      <c r="BD34" s="97"/>
      <c r="BE34" s="106"/>
      <c r="BF34" s="98"/>
      <c r="BG34" s="98"/>
    </row>
    <row r="35" spans="1:60" s="55" customFormat="1" ht="13.5">
      <c r="A35" s="98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9"/>
      <c r="P35" s="98"/>
      <c r="Q35" s="98"/>
      <c r="R35" s="100"/>
      <c r="S35" s="100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9"/>
      <c r="AI35" s="98"/>
      <c r="AJ35" s="98"/>
      <c r="AK35" s="100"/>
      <c r="AL35" s="100"/>
      <c r="AM35" s="100"/>
      <c r="AN35" s="100"/>
      <c r="AO35" s="100"/>
      <c r="AP35" s="100"/>
      <c r="AQ35" s="100"/>
      <c r="AR35" s="100"/>
      <c r="AS35" s="98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97"/>
      <c r="BE35" s="98"/>
      <c r="BF35" s="98"/>
      <c r="BG35" s="98"/>
    </row>
    <row r="36" spans="1:60" s="55" customFormat="1" ht="13.5">
      <c r="A36" s="98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9"/>
      <c r="P36" s="98"/>
      <c r="Q36" s="98"/>
      <c r="R36" s="100"/>
      <c r="S36" s="100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9"/>
      <c r="AI36" s="98"/>
      <c r="AJ36" s="98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97"/>
      <c r="BE36" s="98"/>
      <c r="BF36" s="98"/>
      <c r="BG36" s="98"/>
    </row>
    <row r="37" spans="1:60" s="55" customFormat="1" ht="13.5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9"/>
      <c r="P37" s="98"/>
      <c r="Q37" s="98"/>
      <c r="R37" s="100"/>
      <c r="S37" s="100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9"/>
      <c r="AI37" s="98"/>
      <c r="AJ37" s="98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  <c r="AZ37" s="100"/>
      <c r="BA37" s="100"/>
      <c r="BB37" s="100"/>
      <c r="BC37" s="100"/>
      <c r="BD37" s="97"/>
      <c r="BE37" s="98"/>
      <c r="BF37" s="98"/>
      <c r="BG37" s="98"/>
    </row>
    <row r="38" spans="1:60" s="55" customFormat="1" ht="13.5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9"/>
      <c r="P38" s="98"/>
      <c r="Q38" s="98"/>
      <c r="R38" s="100"/>
      <c r="S38" s="100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9"/>
      <c r="AI38" s="98"/>
      <c r="AJ38" s="98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97"/>
      <c r="BE38" s="98"/>
      <c r="BF38" s="98"/>
      <c r="BG38" s="98"/>
    </row>
    <row r="39" spans="1:60" s="55" customFormat="1" ht="13.5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  <c r="P39" s="98"/>
      <c r="Q39" s="98"/>
      <c r="R39" s="100"/>
      <c r="S39" s="100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9"/>
      <c r="AI39" s="98"/>
      <c r="AJ39" s="98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97"/>
      <c r="BE39" s="98"/>
      <c r="BF39" s="98"/>
      <c r="BG39" s="98"/>
    </row>
    <row r="40" spans="1:60" s="55" customFormat="1" ht="13.5">
      <c r="A40" s="98"/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9"/>
      <c r="P40" s="98"/>
      <c r="Q40" s="98"/>
      <c r="R40" s="100"/>
      <c r="S40" s="100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9"/>
      <c r="AI40" s="98"/>
      <c r="AJ40" s="98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97"/>
      <c r="BE40" s="98"/>
      <c r="BF40" s="98"/>
      <c r="BG40" s="98"/>
    </row>
    <row r="41" spans="1:60" s="55" customFormat="1" ht="13.5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9"/>
      <c r="P41" s="98"/>
      <c r="Q41" s="98"/>
      <c r="R41" s="100"/>
      <c r="S41" s="100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9"/>
      <c r="AI41" s="98"/>
      <c r="AJ41" s="98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97"/>
      <c r="BE41" s="98"/>
      <c r="BF41" s="98"/>
      <c r="BG41" s="98"/>
    </row>
    <row r="42" spans="1:60" s="55" customFormat="1" ht="13.5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9"/>
      <c r="P42" s="98"/>
      <c r="Q42" s="98"/>
      <c r="R42" s="100"/>
      <c r="S42" s="100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9"/>
      <c r="AI42" s="98"/>
      <c r="AJ42" s="98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97"/>
      <c r="BE42" s="98"/>
      <c r="BF42" s="98"/>
      <c r="BG42" s="98"/>
    </row>
    <row r="43" spans="1:60" s="55" customFormat="1" ht="13.5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9"/>
      <c r="P43" s="98"/>
      <c r="Q43" s="98"/>
      <c r="R43" s="100"/>
      <c r="S43" s="100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9"/>
      <c r="AI43" s="98"/>
      <c r="AJ43" s="98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97"/>
      <c r="BE43" s="98"/>
      <c r="BF43" s="98"/>
      <c r="BG43" s="98"/>
    </row>
    <row r="44" spans="1:60" s="55" customFormat="1" ht="13.5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9"/>
      <c r="P44" s="98"/>
      <c r="Q44" s="98"/>
      <c r="R44" s="100"/>
      <c r="S44" s="100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97"/>
      <c r="BE44" s="98"/>
      <c r="BF44" s="98"/>
      <c r="BG44" s="98"/>
    </row>
    <row r="45" spans="1:60" s="55" customFormat="1" ht="13.5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9"/>
      <c r="P45" s="98"/>
      <c r="Q45" s="98"/>
      <c r="R45" s="100"/>
      <c r="S45" s="100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97"/>
      <c r="BE45" s="98"/>
      <c r="BF45" s="98"/>
      <c r="BG45" s="98"/>
    </row>
    <row r="46" spans="1:60" s="55" customFormat="1" ht="13.5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9"/>
      <c r="P46" s="98"/>
      <c r="Q46" s="98"/>
      <c r="R46" s="100"/>
      <c r="S46" s="100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97"/>
      <c r="BE46" s="98"/>
      <c r="BF46" s="98"/>
      <c r="BG46" s="98"/>
    </row>
    <row r="47" spans="1:60" s="55" customFormat="1" ht="13.5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9"/>
      <c r="P47" s="98"/>
      <c r="Q47" s="98"/>
      <c r="R47" s="100"/>
      <c r="S47" s="100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97"/>
      <c r="BE47" s="98"/>
      <c r="BF47" s="98"/>
      <c r="BG47" s="98"/>
    </row>
    <row r="48" spans="1:60" s="55" customFormat="1" ht="13.5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9"/>
      <c r="P48" s="98"/>
      <c r="Q48" s="98"/>
      <c r="R48" s="100"/>
      <c r="S48" s="100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97"/>
      <c r="BE48" s="98"/>
      <c r="BF48" s="98"/>
      <c r="BG48" s="98"/>
    </row>
    <row r="49" spans="1:59" s="55" customFormat="1" ht="13.5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9"/>
      <c r="P49" s="98"/>
      <c r="Q49" s="98"/>
      <c r="R49" s="100"/>
      <c r="S49" s="100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97"/>
      <c r="BE49" s="88"/>
      <c r="BF49" s="88"/>
      <c r="BG49" s="88"/>
    </row>
    <row r="50" spans="1:59" s="55" customFormat="1" ht="13.5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9"/>
      <c r="P50" s="98"/>
      <c r="Q50" s="98"/>
      <c r="R50" s="100"/>
      <c r="S50" s="100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97"/>
      <c r="BE50" s="88"/>
      <c r="BF50" s="88"/>
      <c r="BG50" s="88"/>
    </row>
    <row r="51" spans="1:59" s="55" customFormat="1" ht="13.5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9"/>
      <c r="P51" s="98"/>
      <c r="Q51" s="98"/>
      <c r="R51" s="100"/>
      <c r="S51" s="100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97"/>
      <c r="BE51" s="88"/>
      <c r="BF51" s="88"/>
      <c r="BG51" s="88"/>
    </row>
    <row r="52" spans="1:59" s="55" customFormat="1" ht="13.5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9"/>
      <c r="P52" s="98"/>
      <c r="Q52" s="98"/>
      <c r="R52" s="100"/>
      <c r="S52" s="100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97"/>
      <c r="BE52" s="88"/>
      <c r="BF52" s="88"/>
      <c r="BG52" s="88"/>
    </row>
    <row r="53" spans="1:59" s="55" customFormat="1" ht="13.5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9"/>
      <c r="P53" s="98"/>
      <c r="Q53" s="98"/>
      <c r="R53" s="100"/>
      <c r="S53" s="100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97"/>
      <c r="BE53" s="88"/>
      <c r="BF53" s="88"/>
      <c r="BG53" s="88"/>
    </row>
    <row r="54" spans="1:59" s="55" customFormat="1" ht="13.5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9"/>
      <c r="P54" s="98"/>
      <c r="Q54" s="98"/>
      <c r="R54" s="100"/>
      <c r="S54" s="100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97"/>
      <c r="BE54" s="88"/>
      <c r="BF54" s="88"/>
      <c r="BG54" s="88"/>
    </row>
    <row r="55" spans="1:59" s="55" customFormat="1" ht="13.5">
      <c r="A55" s="98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56"/>
      <c r="P55" s="98"/>
      <c r="Q55" s="98"/>
      <c r="R55" s="100"/>
      <c r="S55" s="100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/>
    </row>
    <row r="56" spans="1:59" s="55" customFormat="1" ht="13.5">
      <c r="A56" s="98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56"/>
      <c r="P56" s="98"/>
      <c r="Q56" s="98"/>
      <c r="R56" s="100"/>
      <c r="S56" s="100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/>
    </row>
    <row r="57" spans="1:59" s="55" customFormat="1" ht="13.5">
      <c r="A57" s="98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56"/>
      <c r="P57" s="98"/>
      <c r="Q57" s="98"/>
      <c r="R57" s="100"/>
      <c r="S57" s="100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/>
    </row>
    <row r="58" spans="1:59" s="55" customFormat="1" ht="13.5">
      <c r="A58" s="98"/>
      <c r="B58" s="98"/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56"/>
      <c r="P58" s="98"/>
      <c r="Q58" s="98"/>
      <c r="R58" s="100"/>
      <c r="S58" s="100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/>
    </row>
    <row r="59" spans="1:59" s="55" customFormat="1" ht="13.5">
      <c r="A59" s="98"/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56"/>
      <c r="P59" s="98"/>
      <c r="Q59" s="98"/>
      <c r="R59" s="100"/>
      <c r="S59" s="100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/>
    </row>
    <row r="60" spans="1:59" s="55" customFormat="1" ht="13.5">
      <c r="A60" s="98"/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56"/>
      <c r="P60" s="98"/>
      <c r="Q60" s="98"/>
      <c r="R60" s="100"/>
      <c r="S60" s="100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/>
    </row>
    <row r="61" spans="1:59" s="55" customFormat="1" ht="13.5">
      <c r="A61" s="98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56"/>
      <c r="P61" s="98"/>
      <c r="Q61" s="98"/>
      <c r="R61" s="100"/>
      <c r="S61" s="100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/>
    </row>
    <row r="62" spans="1:59" s="55" customFormat="1" ht="13.5">
      <c r="A62" s="98"/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56"/>
      <c r="P62" s="98"/>
      <c r="Q62" s="98"/>
      <c r="R62" s="100"/>
      <c r="S62" s="100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/>
    </row>
    <row r="63" spans="1:59" s="55" customFormat="1" ht="13.5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56"/>
      <c r="P63" s="98"/>
      <c r="Q63" s="98"/>
      <c r="R63" s="100"/>
      <c r="S63" s="100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/>
    </row>
    <row r="64" spans="1:59" s="55" customFormat="1" ht="13.5">
      <c r="A64" s="98"/>
      <c r="B64" s="98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56"/>
      <c r="P64" s="98"/>
      <c r="Q64" s="98"/>
      <c r="R64" s="100"/>
      <c r="S64" s="100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/>
    </row>
    <row r="65" spans="1:56" s="55" customFormat="1" ht="13.5">
      <c r="A65" s="98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56"/>
      <c r="P65" s="98"/>
      <c r="Q65" s="98"/>
      <c r="R65" s="100"/>
      <c r="S65" s="100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/>
    </row>
    <row r="66" spans="1:56" s="55" customFormat="1" ht="13.5">
      <c r="A66" s="98"/>
      <c r="B66" s="98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56"/>
      <c r="P66" s="98"/>
      <c r="Q66" s="98"/>
      <c r="R66" s="100"/>
      <c r="S66" s="100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/>
    </row>
    <row r="67" spans="1:56" s="55" customFormat="1" ht="13.5">
      <c r="A67" s="98"/>
      <c r="B67" s="98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56"/>
      <c r="P67" s="98"/>
      <c r="Q67" s="98"/>
      <c r="R67" s="100"/>
      <c r="S67" s="100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/>
    </row>
    <row r="68" spans="1:56" s="55" customFormat="1" ht="13.5">
      <c r="A68" s="98"/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56"/>
      <c r="P68" s="98"/>
      <c r="Q68" s="98"/>
      <c r="R68" s="100"/>
      <c r="S68" s="100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/>
    </row>
    <row r="69" spans="1:56" s="55" customFormat="1" ht="13.5">
      <c r="A69" s="98"/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56"/>
      <c r="P69" s="98"/>
      <c r="Q69" s="98"/>
      <c r="R69" s="100"/>
      <c r="S69" s="100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/>
    </row>
    <row r="70" spans="1:56" s="55" customFormat="1" ht="13.5">
      <c r="A70" s="98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56"/>
      <c r="P70" s="98"/>
      <c r="Q70" s="98"/>
      <c r="R70" s="100"/>
      <c r="S70" s="100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/>
    </row>
    <row r="71" spans="1:56" s="55" customFormat="1" ht="13.5">
      <c r="A71" s="98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56"/>
      <c r="P71" s="98"/>
      <c r="Q71" s="98"/>
      <c r="R71" s="100"/>
      <c r="S71" s="100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/>
    </row>
    <row r="72" spans="1:56" s="55" customFormat="1" ht="13.5">
      <c r="A72" s="98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56"/>
      <c r="P72" s="98"/>
      <c r="Q72" s="98"/>
      <c r="R72" s="100"/>
      <c r="S72" s="100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/>
    </row>
    <row r="73" spans="1:56" s="55" customFormat="1" ht="13.5">
      <c r="A73" s="98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56"/>
      <c r="P73" s="98"/>
      <c r="Q73" s="98"/>
      <c r="R73" s="100"/>
      <c r="S73" s="100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/>
    </row>
    <row r="74" spans="1:56" s="55" customFormat="1" ht="13.5">
      <c r="A74" s="98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56"/>
      <c r="P74" s="98"/>
      <c r="Q74" s="98"/>
      <c r="R74" s="100"/>
      <c r="S74" s="100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/>
    </row>
    <row r="75" spans="1:56" s="55" customFormat="1" ht="13.5">
      <c r="A75" s="98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56"/>
      <c r="P75" s="98"/>
      <c r="Q75" s="98"/>
      <c r="R75" s="100"/>
      <c r="S75" s="100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/>
    </row>
    <row r="76" spans="1:56" s="55" customFormat="1" ht="13.5">
      <c r="A76" s="98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56"/>
      <c r="P76" s="98"/>
      <c r="Q76" s="98"/>
      <c r="R76" s="100"/>
      <c r="S76" s="100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/>
    </row>
    <row r="77" spans="1:56" s="55" customFormat="1" ht="13.5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56"/>
      <c r="P77" s="98"/>
      <c r="Q77" s="98"/>
      <c r="R77" s="100"/>
      <c r="S77" s="100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/>
    </row>
    <row r="78" spans="1:56" s="55" customFormat="1" ht="13.5">
      <c r="A78" s="98"/>
      <c r="B78" s="98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56"/>
      <c r="P78" s="98"/>
      <c r="Q78" s="98"/>
      <c r="R78" s="100"/>
      <c r="S78" s="100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/>
    </row>
    <row r="79" spans="1:56" s="55" customFormat="1" ht="13.5">
      <c r="A79" s="98"/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56"/>
      <c r="P79" s="98"/>
      <c r="Q79" s="98"/>
      <c r="R79" s="100"/>
      <c r="S79" s="100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/>
    </row>
    <row r="80" spans="1:56" s="55" customFormat="1" ht="13.5">
      <c r="A80" s="98"/>
      <c r="B80" s="98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56"/>
      <c r="P80" s="98"/>
      <c r="Q80" s="98"/>
      <c r="R80" s="100"/>
      <c r="S80" s="100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/>
    </row>
    <row r="81" spans="15:56" s="55" customFormat="1" ht="13.5">
      <c r="O81" s="56"/>
      <c r="R81" s="57"/>
      <c r="S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7"/>
      <c r="BA81" s="57"/>
      <c r="BB81" s="57"/>
      <c r="BC81" s="57"/>
      <c r="BD81"/>
    </row>
    <row r="82" spans="15:56" s="55" customFormat="1" ht="13.5">
      <c r="O82" s="56"/>
      <c r="R82" s="57"/>
      <c r="S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  <c r="BB82" s="57"/>
      <c r="BC82" s="57"/>
      <c r="BD82"/>
    </row>
    <row r="83" spans="15:56" s="55" customFormat="1" ht="13.5">
      <c r="O83" s="56"/>
      <c r="R83" s="57"/>
      <c r="S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/>
    </row>
    <row r="84" spans="15:56" s="55" customFormat="1" ht="13.5">
      <c r="O84" s="56"/>
      <c r="R84" s="57"/>
      <c r="S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/>
    </row>
    <row r="85" spans="15:56" s="55" customFormat="1" ht="13.5">
      <c r="O85" s="56"/>
      <c r="R85" s="57"/>
      <c r="S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/>
    </row>
    <row r="86" spans="15:56" s="55" customFormat="1" ht="13.5">
      <c r="O86" s="56"/>
      <c r="R86" s="57"/>
      <c r="S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/>
    </row>
    <row r="87" spans="15:56" s="55" customFormat="1" ht="13.5">
      <c r="O87" s="56"/>
      <c r="R87" s="57"/>
      <c r="S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/>
    </row>
    <row r="88" spans="15:56" s="55" customFormat="1" ht="13.5">
      <c r="O88" s="56"/>
      <c r="R88" s="57"/>
      <c r="S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/>
    </row>
    <row r="89" spans="15:56" s="55" customFormat="1" ht="13.5">
      <c r="O89" s="56"/>
      <c r="R89" s="57"/>
      <c r="S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/>
    </row>
    <row r="90" spans="15:56" s="55" customFormat="1" ht="13.5">
      <c r="O90" s="56"/>
      <c r="R90" s="57"/>
      <c r="S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/>
    </row>
    <row r="91" spans="15:56" s="55" customFormat="1" ht="13.5">
      <c r="O91" s="56"/>
      <c r="R91" s="57"/>
      <c r="S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/>
    </row>
    <row r="92" spans="15:56" s="55" customFormat="1" ht="13.5">
      <c r="O92" s="56"/>
      <c r="R92" s="57"/>
      <c r="S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/>
    </row>
    <row r="93" spans="15:56" s="55" customFormat="1" ht="13.5">
      <c r="O93" s="56"/>
      <c r="R93" s="57"/>
      <c r="S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/>
    </row>
    <row r="94" spans="15:56" s="55" customFormat="1" ht="13.5">
      <c r="O94" s="56"/>
      <c r="R94" s="57"/>
      <c r="S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/>
    </row>
    <row r="95" spans="15:56" s="55" customFormat="1" ht="13.5">
      <c r="O95" s="56"/>
      <c r="R95" s="57"/>
      <c r="S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/>
    </row>
    <row r="96" spans="15:56" s="55" customFormat="1" ht="13.5">
      <c r="O96" s="56"/>
      <c r="R96" s="57"/>
      <c r="S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/>
    </row>
    <row r="97" spans="15:56" s="55" customFormat="1" ht="13.5">
      <c r="O97" s="56"/>
      <c r="R97" s="57"/>
      <c r="S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/>
    </row>
    <row r="98" spans="15:56" s="55" customFormat="1" ht="13.5">
      <c r="O98" s="56"/>
      <c r="R98" s="57"/>
      <c r="S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/>
    </row>
    <row r="99" spans="15:56" s="55" customFormat="1" ht="13.5">
      <c r="O99" s="56"/>
      <c r="R99" s="57"/>
      <c r="S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/>
    </row>
    <row r="100" spans="15:56" s="55" customFormat="1" ht="13.5">
      <c r="O100" s="56"/>
      <c r="R100" s="57"/>
      <c r="S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/>
    </row>
    <row r="101" spans="15:56" s="55" customFormat="1" ht="13.5">
      <c r="O101" s="56"/>
      <c r="R101" s="57"/>
      <c r="S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/>
    </row>
    <row r="102" spans="15:56" s="55" customFormat="1" ht="13.5">
      <c r="O102" s="56"/>
      <c r="R102" s="57"/>
      <c r="S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/>
    </row>
    <row r="103" spans="15:56" s="55" customFormat="1" ht="13.5">
      <c r="O103" s="56"/>
      <c r="R103" s="57"/>
      <c r="S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/>
    </row>
    <row r="104" spans="15:56" s="55" customFormat="1" ht="13.5">
      <c r="O104" s="56"/>
      <c r="R104" s="57"/>
      <c r="S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/>
    </row>
    <row r="105" spans="15:56" s="55" customFormat="1" ht="13.5">
      <c r="O105" s="56"/>
      <c r="R105" s="57"/>
      <c r="S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/>
    </row>
    <row r="106" spans="15:56" s="55" customFormat="1" ht="13.5">
      <c r="O106" s="56"/>
      <c r="R106" s="57"/>
      <c r="S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/>
    </row>
    <row r="107" spans="15:56" s="55" customFormat="1" ht="13.5">
      <c r="O107" s="56"/>
      <c r="R107" s="57"/>
      <c r="S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/>
    </row>
    <row r="108" spans="15:56" s="55" customFormat="1" ht="13.5">
      <c r="O108" s="56"/>
      <c r="R108" s="57"/>
      <c r="S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/>
    </row>
    <row r="109" spans="15:56" s="55" customFormat="1" ht="13.5">
      <c r="O109" s="56"/>
      <c r="R109" s="57"/>
      <c r="S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/>
    </row>
    <row r="110" spans="15:56" s="55" customFormat="1" ht="13.5">
      <c r="O110" s="56"/>
      <c r="R110" s="57"/>
      <c r="S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/>
    </row>
    <row r="111" spans="15:56" s="55" customFormat="1" ht="13.5">
      <c r="O111" s="56"/>
      <c r="R111" s="57"/>
      <c r="S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/>
    </row>
    <row r="112" spans="15:56" s="55" customFormat="1" ht="13.5">
      <c r="O112" s="56"/>
      <c r="R112" s="57"/>
      <c r="S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/>
    </row>
    <row r="113" spans="15:56" s="55" customFormat="1" ht="13.5">
      <c r="O113" s="56"/>
      <c r="R113" s="57"/>
      <c r="S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/>
    </row>
    <row r="114" spans="15:56" s="55" customFormat="1" ht="13.5">
      <c r="O114" s="56"/>
      <c r="R114" s="57"/>
      <c r="S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/>
    </row>
    <row r="115" spans="15:56" s="55" customFormat="1" ht="13.5">
      <c r="O115" s="56"/>
      <c r="R115" s="57"/>
      <c r="S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/>
    </row>
    <row r="116" spans="15:56" s="55" customFormat="1" ht="13.5">
      <c r="O116" s="56"/>
      <c r="R116" s="57"/>
      <c r="S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/>
    </row>
    <row r="117" spans="15:56" s="55" customFormat="1" ht="13.5">
      <c r="O117" s="56"/>
      <c r="R117" s="57"/>
      <c r="S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/>
    </row>
    <row r="118" spans="15:56" s="55" customFormat="1" ht="13.5">
      <c r="O118" s="56"/>
      <c r="R118" s="57"/>
      <c r="S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/>
    </row>
    <row r="119" spans="15:56" s="55" customFormat="1" ht="13.5">
      <c r="O119" s="56"/>
      <c r="R119" s="57"/>
      <c r="S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/>
    </row>
    <row r="120" spans="15:56" s="55" customFormat="1" ht="13.5">
      <c r="O120" s="56"/>
      <c r="R120" s="57"/>
      <c r="S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/>
    </row>
    <row r="121" spans="15:56" s="55" customFormat="1" ht="13.5">
      <c r="O121" s="56"/>
      <c r="R121" s="57"/>
      <c r="S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7"/>
      <c r="BA121" s="57"/>
      <c r="BB121" s="57"/>
      <c r="BC121" s="57"/>
      <c r="BD121"/>
    </row>
    <row r="122" spans="15:56" s="55" customFormat="1" ht="13.5">
      <c r="O122" s="56"/>
      <c r="R122" s="57"/>
      <c r="S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7"/>
      <c r="BA122" s="57"/>
      <c r="BB122" s="57"/>
      <c r="BC122" s="57"/>
      <c r="BD122"/>
    </row>
    <row r="123" spans="15:56" s="55" customFormat="1" ht="13.5">
      <c r="O123" s="56"/>
      <c r="R123" s="57"/>
      <c r="S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57"/>
      <c r="BD123"/>
    </row>
    <row r="124" spans="15:56" s="55" customFormat="1" ht="13.5">
      <c r="O124" s="56"/>
      <c r="R124" s="57"/>
      <c r="S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/>
    </row>
    <row r="125" spans="15:56" s="55" customFormat="1" ht="13.5">
      <c r="O125" s="56"/>
      <c r="R125" s="57"/>
      <c r="S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/>
    </row>
    <row r="126" spans="15:56" s="55" customFormat="1" ht="13.5">
      <c r="O126" s="56"/>
      <c r="R126" s="57"/>
      <c r="S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/>
    </row>
    <row r="127" spans="15:56" s="55" customFormat="1" ht="13.5">
      <c r="O127" s="56"/>
      <c r="R127" s="57"/>
      <c r="S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/>
    </row>
    <row r="128" spans="15:56" s="55" customFormat="1" ht="13.5">
      <c r="O128" s="56"/>
      <c r="R128" s="57"/>
      <c r="S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/>
    </row>
    <row r="129" spans="15:56" s="55" customFormat="1" ht="13.5">
      <c r="O129" s="56"/>
      <c r="R129" s="57"/>
      <c r="S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/>
    </row>
    <row r="130" spans="15:56" s="55" customFormat="1" ht="13.5">
      <c r="O130" s="56"/>
      <c r="R130" s="57"/>
      <c r="S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/>
    </row>
    <row r="131" spans="15:56" s="55" customFormat="1" ht="13.5">
      <c r="O131" s="56"/>
      <c r="R131" s="57"/>
      <c r="S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/>
    </row>
    <row r="132" spans="15:56" s="55" customFormat="1" ht="13.5">
      <c r="O132" s="56"/>
      <c r="R132" s="57"/>
      <c r="S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/>
    </row>
    <row r="133" spans="15:56" s="55" customFormat="1" ht="13.5">
      <c r="O133" s="56"/>
      <c r="R133" s="57"/>
      <c r="S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/>
    </row>
    <row r="134" spans="15:56" s="55" customFormat="1" ht="13.5">
      <c r="O134" s="56"/>
      <c r="R134" s="57"/>
      <c r="S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/>
    </row>
    <row r="135" spans="15:56" s="55" customFormat="1" ht="13.5">
      <c r="O135" s="56"/>
      <c r="R135" s="57"/>
      <c r="S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/>
    </row>
    <row r="136" spans="15:56" s="55" customFormat="1" ht="13.5">
      <c r="O136" s="56"/>
      <c r="R136" s="57"/>
      <c r="S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/>
    </row>
    <row r="137" spans="15:56" s="55" customFormat="1" ht="13.5">
      <c r="O137" s="56"/>
      <c r="R137" s="57"/>
      <c r="S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/>
    </row>
    <row r="138" spans="15:56" s="55" customFormat="1" ht="13.5">
      <c r="O138" s="56"/>
      <c r="R138" s="57"/>
      <c r="S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/>
    </row>
    <row r="139" spans="15:56" s="55" customFormat="1" ht="13.5">
      <c r="O139" s="56"/>
      <c r="R139" s="57"/>
      <c r="S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/>
    </row>
    <row r="140" spans="15:56" s="55" customFormat="1" ht="13.5">
      <c r="O140" s="56"/>
      <c r="R140" s="57"/>
      <c r="S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/>
    </row>
    <row r="141" spans="15:56" s="55" customFormat="1" ht="13.5">
      <c r="O141" s="56"/>
      <c r="R141" s="57"/>
      <c r="S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/>
    </row>
    <row r="142" spans="15:56" s="55" customFormat="1" ht="13.5">
      <c r="O142" s="56"/>
      <c r="R142" s="57"/>
      <c r="S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/>
    </row>
    <row r="143" spans="15:56" s="55" customFormat="1" ht="13.5">
      <c r="O143" s="56"/>
      <c r="R143" s="57"/>
      <c r="S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/>
    </row>
    <row r="144" spans="15:56" s="55" customFormat="1" ht="13.5">
      <c r="O144" s="56"/>
      <c r="R144" s="57"/>
      <c r="S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/>
    </row>
    <row r="145" spans="15:56" s="55" customFormat="1" ht="13.5">
      <c r="O145" s="56"/>
      <c r="R145" s="57"/>
      <c r="S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/>
    </row>
    <row r="146" spans="15:56" s="55" customFormat="1" ht="13.5">
      <c r="O146" s="56"/>
      <c r="R146" s="57"/>
      <c r="S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57"/>
      <c r="AY146" s="57"/>
      <c r="AZ146" s="57"/>
      <c r="BA146" s="57"/>
      <c r="BB146" s="57"/>
      <c r="BC146" s="57"/>
      <c r="BD146"/>
    </row>
    <row r="147" spans="15:56" s="55" customFormat="1" ht="13.5">
      <c r="O147" s="56"/>
      <c r="R147" s="57"/>
      <c r="S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/>
    </row>
    <row r="148" spans="15:56" s="55" customFormat="1" ht="13.5">
      <c r="O148" s="56"/>
      <c r="R148" s="57"/>
      <c r="S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7"/>
      <c r="BA148" s="57"/>
      <c r="BB148" s="57"/>
      <c r="BC148" s="57"/>
      <c r="BD148"/>
    </row>
    <row r="149" spans="15:56" s="55" customFormat="1" ht="13.5">
      <c r="O149" s="56"/>
      <c r="R149" s="57"/>
      <c r="S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/>
    </row>
    <row r="150" spans="15:56" s="55" customFormat="1" ht="13.5">
      <c r="O150" s="56"/>
      <c r="R150" s="57"/>
      <c r="S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/>
    </row>
    <row r="151" spans="15:56" s="55" customFormat="1" ht="13.5">
      <c r="O151" s="56"/>
      <c r="R151" s="57"/>
      <c r="S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/>
    </row>
    <row r="152" spans="15:56" s="55" customFormat="1" ht="13.5">
      <c r="O152" s="56"/>
      <c r="R152" s="57"/>
      <c r="S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/>
    </row>
    <row r="153" spans="15:56" s="55" customFormat="1" ht="13.5">
      <c r="O153" s="56"/>
      <c r="R153" s="57"/>
      <c r="S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/>
    </row>
    <row r="154" spans="15:56" s="55" customFormat="1" ht="13.5">
      <c r="O154" s="56"/>
      <c r="R154" s="57"/>
      <c r="S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/>
    </row>
    <row r="155" spans="15:56" s="55" customFormat="1" ht="13.5">
      <c r="O155" s="56"/>
      <c r="R155" s="57"/>
      <c r="S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/>
    </row>
    <row r="156" spans="15:56" s="55" customFormat="1" ht="13.5">
      <c r="O156" s="56"/>
      <c r="R156" s="57"/>
      <c r="S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/>
    </row>
    <row r="157" spans="15:56" s="55" customFormat="1" ht="13.5">
      <c r="O157" s="56"/>
      <c r="R157" s="57"/>
      <c r="S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/>
    </row>
    <row r="158" spans="15:56" s="55" customFormat="1" ht="13.5">
      <c r="O158" s="56"/>
      <c r="R158" s="57"/>
      <c r="S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/>
    </row>
    <row r="159" spans="15:56" s="55" customFormat="1" ht="13.5">
      <c r="O159" s="56"/>
      <c r="R159" s="57"/>
      <c r="S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/>
    </row>
    <row r="160" spans="15:56" s="55" customFormat="1" ht="13.5">
      <c r="O160" s="56"/>
      <c r="R160" s="57"/>
      <c r="S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/>
    </row>
    <row r="161" spans="15:56" s="55" customFormat="1" ht="13.5">
      <c r="O161" s="56"/>
      <c r="R161" s="57"/>
      <c r="S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/>
    </row>
    <row r="162" spans="15:56" s="55" customFormat="1" ht="13.5">
      <c r="O162" s="56"/>
      <c r="R162" s="57"/>
      <c r="S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/>
    </row>
    <row r="163" spans="15:56" s="55" customFormat="1" ht="13.5">
      <c r="O163" s="56"/>
      <c r="R163" s="57"/>
      <c r="S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/>
    </row>
    <row r="164" spans="15:56" s="55" customFormat="1" ht="13.5">
      <c r="O164" s="56"/>
      <c r="R164" s="57"/>
      <c r="S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/>
    </row>
    <row r="165" spans="15:56" s="55" customFormat="1" ht="13.5">
      <c r="O165" s="56"/>
      <c r="R165" s="57"/>
      <c r="S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/>
    </row>
    <row r="166" spans="15:56" s="55" customFormat="1" ht="13.5">
      <c r="O166" s="56"/>
      <c r="R166" s="57"/>
      <c r="S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/>
    </row>
    <row r="167" spans="15:56" s="55" customFormat="1" ht="13.5">
      <c r="O167" s="56"/>
      <c r="R167" s="57"/>
      <c r="S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/>
    </row>
    <row r="168" spans="15:56" s="55" customFormat="1" ht="13.5">
      <c r="O168" s="56"/>
      <c r="R168" s="57"/>
      <c r="S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/>
    </row>
    <row r="169" spans="15:56" s="55" customFormat="1" ht="13.5">
      <c r="O169" s="56"/>
      <c r="R169" s="57"/>
      <c r="S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/>
    </row>
    <row r="170" spans="15:56" s="55" customFormat="1" ht="13.5">
      <c r="O170" s="56"/>
      <c r="R170" s="57"/>
      <c r="S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/>
    </row>
    <row r="171" spans="15:56" s="55" customFormat="1" ht="13.5">
      <c r="O171" s="56"/>
      <c r="R171" s="57"/>
      <c r="S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/>
    </row>
    <row r="172" spans="15:56" s="55" customFormat="1" ht="13.5">
      <c r="O172" s="56"/>
      <c r="R172" s="57"/>
      <c r="S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/>
    </row>
    <row r="173" spans="15:56" s="55" customFormat="1" ht="13.5">
      <c r="O173" s="56"/>
      <c r="R173" s="57"/>
      <c r="S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/>
    </row>
    <row r="174" spans="15:56" s="55" customFormat="1" ht="13.5">
      <c r="O174" s="56"/>
      <c r="R174" s="57"/>
      <c r="S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/>
    </row>
    <row r="175" spans="15:56" s="55" customFormat="1" ht="13.5">
      <c r="O175" s="56"/>
      <c r="R175" s="57"/>
      <c r="S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/>
    </row>
    <row r="176" spans="15:56" s="55" customFormat="1" ht="13.5">
      <c r="O176" s="56"/>
      <c r="R176" s="57"/>
      <c r="S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/>
    </row>
    <row r="177" spans="15:56" s="55" customFormat="1" ht="13.5">
      <c r="O177" s="56"/>
      <c r="R177" s="57"/>
      <c r="S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/>
    </row>
    <row r="178" spans="15:56" s="55" customFormat="1" ht="13.5">
      <c r="O178" s="56"/>
      <c r="R178" s="57"/>
      <c r="S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/>
    </row>
    <row r="179" spans="15:56" s="55" customFormat="1" ht="13.5">
      <c r="O179" s="56"/>
      <c r="R179" s="57"/>
      <c r="S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/>
    </row>
    <row r="180" spans="15:56" s="55" customFormat="1" ht="13.5">
      <c r="O180" s="56"/>
      <c r="R180" s="57"/>
      <c r="S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/>
    </row>
    <row r="181" spans="15:56" s="55" customFormat="1" ht="13.5">
      <c r="O181" s="56"/>
      <c r="R181" s="57"/>
      <c r="S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/>
    </row>
    <row r="182" spans="15:56" s="55" customFormat="1" ht="13.5">
      <c r="O182" s="56"/>
      <c r="R182" s="57"/>
      <c r="S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/>
    </row>
    <row r="183" spans="15:56" s="55" customFormat="1" ht="13.5">
      <c r="O183" s="56"/>
      <c r="R183" s="57"/>
      <c r="S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/>
    </row>
    <row r="184" spans="15:56" s="55" customFormat="1" ht="13.5">
      <c r="O184" s="56"/>
      <c r="R184" s="57"/>
      <c r="S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/>
    </row>
    <row r="185" spans="15:56" s="55" customFormat="1" ht="13.5">
      <c r="O185" s="56"/>
      <c r="R185" s="57"/>
      <c r="S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/>
    </row>
    <row r="186" spans="15:56" s="55" customFormat="1" ht="13.5">
      <c r="O186" s="56"/>
      <c r="R186" s="57"/>
      <c r="S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/>
    </row>
    <row r="187" spans="15:56" s="55" customFormat="1" ht="13.5">
      <c r="O187" s="56"/>
      <c r="R187" s="57"/>
      <c r="S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/>
    </row>
    <row r="188" spans="15:56" s="55" customFormat="1" ht="13.5">
      <c r="O188" s="56"/>
      <c r="R188" s="57"/>
      <c r="S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/>
    </row>
    <row r="189" spans="15:56" s="55" customFormat="1" ht="13.5">
      <c r="O189" s="56"/>
      <c r="R189" s="57"/>
      <c r="S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  <c r="BD189"/>
    </row>
    <row r="190" spans="15:56" s="55" customFormat="1" ht="13.5">
      <c r="O190" s="56"/>
      <c r="R190" s="57"/>
      <c r="S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/>
    </row>
    <row r="191" spans="15:56" s="55" customFormat="1" ht="13.5">
      <c r="O191" s="56"/>
      <c r="R191" s="57"/>
      <c r="S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/>
    </row>
    <row r="192" spans="15:56" s="55" customFormat="1" ht="13.5">
      <c r="O192" s="56"/>
      <c r="R192" s="57"/>
      <c r="S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7"/>
      <c r="BA192" s="57"/>
      <c r="BB192" s="57"/>
      <c r="BC192" s="57"/>
      <c r="BD192"/>
    </row>
    <row r="193" spans="15:56" s="55" customFormat="1" ht="13.5">
      <c r="O193" s="56"/>
      <c r="R193" s="57"/>
      <c r="S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/>
    </row>
    <row r="194" spans="15:56" s="55" customFormat="1" ht="13.5">
      <c r="O194" s="56"/>
      <c r="R194" s="57"/>
      <c r="S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/>
    </row>
    <row r="195" spans="15:56" s="55" customFormat="1" ht="13.5">
      <c r="O195" s="56"/>
      <c r="R195" s="57"/>
      <c r="S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/>
    </row>
    <row r="196" spans="15:56" s="55" customFormat="1" ht="13.5">
      <c r="O196" s="56"/>
      <c r="R196" s="57"/>
      <c r="S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/>
    </row>
    <row r="197" spans="15:56" s="55" customFormat="1" ht="13.5">
      <c r="O197" s="56"/>
      <c r="R197" s="57"/>
      <c r="S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  <c r="BD197"/>
    </row>
    <row r="198" spans="15:56" s="55" customFormat="1" ht="13.5">
      <c r="O198" s="56"/>
      <c r="R198" s="57"/>
      <c r="S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7"/>
      <c r="BA198" s="57"/>
      <c r="BB198" s="57"/>
      <c r="BC198" s="57"/>
      <c r="BD198"/>
    </row>
    <row r="199" spans="15:56" s="55" customFormat="1" ht="13.5">
      <c r="O199" s="56"/>
      <c r="R199" s="57"/>
      <c r="S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/>
    </row>
    <row r="200" spans="15:56" s="55" customFormat="1" ht="13.5">
      <c r="O200" s="56"/>
      <c r="R200" s="57"/>
      <c r="S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7"/>
      <c r="BA200" s="57"/>
      <c r="BB200" s="57"/>
      <c r="BC200" s="57"/>
      <c r="BD200"/>
    </row>
    <row r="201" spans="15:56" s="55" customFormat="1" ht="13.5">
      <c r="O201" s="56"/>
      <c r="R201" s="57"/>
      <c r="S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7"/>
      <c r="BA201" s="57"/>
      <c r="BB201" s="57"/>
      <c r="BC201" s="57"/>
      <c r="BD201"/>
    </row>
    <row r="202" spans="15:56" s="55" customFormat="1" ht="13.5">
      <c r="O202" s="56"/>
      <c r="R202" s="57"/>
      <c r="S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7"/>
      <c r="BA202" s="57"/>
      <c r="BB202" s="57"/>
      <c r="BC202" s="57"/>
      <c r="BD202"/>
    </row>
    <row r="203" spans="15:56" s="55" customFormat="1" ht="13.5">
      <c r="O203" s="56"/>
      <c r="R203" s="57"/>
      <c r="S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/>
    </row>
    <row r="204" spans="15:56" s="55" customFormat="1" ht="13.5">
      <c r="O204" s="56"/>
      <c r="R204" s="57"/>
      <c r="S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  <c r="BD204"/>
    </row>
    <row r="205" spans="15:56" s="55" customFormat="1" ht="13.5">
      <c r="O205" s="56"/>
      <c r="R205" s="57"/>
      <c r="S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  <c r="BD205"/>
    </row>
    <row r="206" spans="15:56" s="55" customFormat="1" ht="13.5">
      <c r="O206" s="56"/>
      <c r="R206" s="57"/>
      <c r="S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/>
    </row>
    <row r="207" spans="15:56" s="55" customFormat="1" ht="13.5">
      <c r="O207" s="56"/>
      <c r="R207" s="57"/>
      <c r="S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7"/>
      <c r="BA207" s="57"/>
      <c r="BB207" s="57"/>
      <c r="BC207" s="57"/>
      <c r="BD207"/>
    </row>
    <row r="208" spans="15:56" s="55" customFormat="1" ht="13.5">
      <c r="O208" s="56"/>
      <c r="R208" s="57"/>
      <c r="S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7"/>
      <c r="BA208" s="57"/>
      <c r="BB208" s="57"/>
      <c r="BC208" s="57"/>
      <c r="BD208"/>
    </row>
    <row r="209" spans="15:56" s="55" customFormat="1" ht="13.5">
      <c r="O209" s="56"/>
      <c r="R209" s="57"/>
      <c r="S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/>
    </row>
    <row r="210" spans="15:56" s="55" customFormat="1" ht="13.5">
      <c r="O210" s="56"/>
      <c r="R210" s="57"/>
      <c r="S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/>
    </row>
  </sheetData>
  <sheetProtection selectLockedCells="1"/>
  <mergeCells count="4">
    <mergeCell ref="AY24:BG24"/>
    <mergeCell ref="T24:AL24"/>
    <mergeCell ref="A24:G24"/>
    <mergeCell ref="AM24:AX24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G100"/>
  <sheetViews>
    <sheetView topLeftCell="A7" workbookViewId="0">
      <selection activeCell="V22" sqref="V22"/>
    </sheetView>
  </sheetViews>
  <sheetFormatPr defaultColWidth="8.625" defaultRowHeight="13.5"/>
  <cols>
    <col min="1" max="1" width="8.75" bestFit="1" customWidth="1"/>
    <col min="2" max="3" width="4.875" bestFit="1" customWidth="1"/>
    <col min="4" max="4" width="8.75" bestFit="1" customWidth="1"/>
    <col min="6" max="7" width="4.875" bestFit="1" customWidth="1"/>
    <col min="8" max="9" width="8.75" bestFit="1" customWidth="1"/>
    <col min="10" max="10" width="7.125" bestFit="1" customWidth="1"/>
    <col min="11" max="11" width="1.75" bestFit="1" customWidth="1"/>
    <col min="12" max="13" width="4.875" bestFit="1" customWidth="1"/>
    <col min="14" max="14" width="8.75" bestFit="1" customWidth="1"/>
    <col min="16" max="17" width="4.875" bestFit="1" customWidth="1"/>
    <col min="18" max="19" width="8.75" bestFit="1" customWidth="1"/>
    <col min="20" max="20" width="7.125" bestFit="1" customWidth="1"/>
    <col min="21" max="21" width="15.75" bestFit="1" customWidth="1"/>
    <col min="22" max="22" width="8.5" bestFit="1" customWidth="1"/>
    <col min="23" max="23" width="8.125" bestFit="1" customWidth="1"/>
    <col min="24" max="24" width="5.25" bestFit="1" customWidth="1"/>
    <col min="26" max="26" width="8.75" bestFit="1" customWidth="1"/>
    <col min="27" max="28" width="4.875" bestFit="1" customWidth="1"/>
    <col min="29" max="29" width="8.75" bestFit="1" customWidth="1"/>
    <col min="31" max="32" width="4.875" bestFit="1" customWidth="1"/>
    <col min="33" max="34" width="8.75" bestFit="1" customWidth="1"/>
    <col min="35" max="35" width="7.125" bestFit="1" customWidth="1"/>
    <col min="36" max="36" width="7.875" bestFit="1" customWidth="1"/>
    <col min="37" max="38" width="4.875" bestFit="1" customWidth="1"/>
    <col min="39" max="39" width="8.75" bestFit="1" customWidth="1"/>
    <col min="41" max="42" width="4.875" bestFit="1" customWidth="1"/>
    <col min="43" max="44" width="8.75" bestFit="1" customWidth="1"/>
    <col min="45" max="45" width="7.125" bestFit="1" customWidth="1"/>
    <col min="49" max="49" width="8.75" bestFit="1" customWidth="1"/>
    <col min="50" max="51" width="7.375" bestFit="1" customWidth="1"/>
    <col min="52" max="52" width="8.75" bestFit="1" customWidth="1"/>
    <col min="54" max="55" width="4.875" bestFit="1" customWidth="1"/>
    <col min="56" max="56" width="11.25" bestFit="1" customWidth="1"/>
    <col min="57" max="57" width="8.75" bestFit="1" customWidth="1"/>
    <col min="58" max="58" width="7.125" bestFit="1" customWidth="1"/>
    <col min="59" max="59" width="1.75" bestFit="1" customWidth="1"/>
    <col min="60" max="61" width="7.375" bestFit="1" customWidth="1"/>
    <col min="62" max="62" width="8.75" bestFit="1" customWidth="1"/>
    <col min="64" max="65" width="4.875" bestFit="1" customWidth="1"/>
    <col min="66" max="66" width="11.25" bestFit="1" customWidth="1"/>
    <col min="67" max="67" width="8.75" bestFit="1" customWidth="1"/>
    <col min="68" max="68" width="7.125" bestFit="1" customWidth="1"/>
    <col min="74" max="74" width="8.75" bestFit="1" customWidth="1"/>
    <col min="75" max="76" width="7.375" bestFit="1" customWidth="1"/>
    <col min="77" max="77" width="25.125" bestFit="1" customWidth="1"/>
    <col min="79" max="79" width="10.125" bestFit="1" customWidth="1"/>
    <col min="80" max="80" width="8.5" bestFit="1" customWidth="1"/>
    <col min="81" max="81" width="11.25" bestFit="1" customWidth="1"/>
    <col min="82" max="82" width="8.75" bestFit="1" customWidth="1"/>
    <col min="83" max="83" width="3.75" bestFit="1" customWidth="1"/>
    <col min="84" max="84" width="12.625" bestFit="1" customWidth="1"/>
    <col min="85" max="86" width="7.375" bestFit="1" customWidth="1"/>
    <col min="87" max="87" width="8.75" bestFit="1" customWidth="1"/>
    <col min="89" max="90" width="4.875" bestFit="1" customWidth="1"/>
    <col min="91" max="91" width="11.25" bestFit="1" customWidth="1"/>
    <col min="92" max="92" width="8.75" bestFit="1" customWidth="1"/>
    <col min="93" max="93" width="7.125" bestFit="1" customWidth="1"/>
    <col min="94" max="94" width="7.375" bestFit="1" customWidth="1"/>
    <col min="96" max="96" width="7.375" bestFit="1" customWidth="1"/>
    <col min="97" max="97" width="4.875" bestFit="1" customWidth="1"/>
    <col min="99" max="99" width="8.5" bestFit="1" customWidth="1"/>
    <col min="100" max="100" width="7.375" bestFit="1" customWidth="1"/>
  </cols>
  <sheetData>
    <row r="1" spans="1:111">
      <c r="A1" s="1" t="str">
        <f>IF(数据源!K26="外检","#","")</f>
        <v/>
      </c>
      <c r="B1" s="2" t="str">
        <f>IF(ISBLANK(数据源!B26),"",数据源!B26)</f>
        <v/>
      </c>
      <c r="C1" s="2" t="str">
        <f>IF(ISBLANK(数据源!C26),"",IF(数据源!C26="/",数据源!F26,数据源!C26))</f>
        <v/>
      </c>
      <c r="D1" s="2" t="str">
        <f>IF(LEN(数据源!P26)=0,IF(LEN(数据源!D26)=0,"",数据源!D26),数据源!P26)</f>
        <v/>
      </c>
      <c r="E1" s="2"/>
      <c r="F1" s="2" t="str">
        <f>IF(ISBLANK(数据源!E26),"",数据源!E26)</f>
        <v/>
      </c>
      <c r="G1" s="2" t="str">
        <f>IF(ISBLANK(数据源!G26),"",IF(数据源!G26="A","合格","不合格"))</f>
        <v/>
      </c>
      <c r="H1" s="2" t="str">
        <f>IF(ISBLANK(数据源!H26),"",数据源!H26)</f>
        <v/>
      </c>
      <c r="I1" s="2" t="str">
        <f>IF(ISBLANK(数据源!J26),"",数据源!J26)</f>
        <v/>
      </c>
      <c r="J1" s="2" t="str">
        <f>IF(ISBLANK(数据源!L26),"",数据源!L26)</f>
        <v/>
      </c>
      <c r="K1" s="1" t="str">
        <f>IF(数据源!AD26="外检","#","")</f>
        <v/>
      </c>
      <c r="L1" s="2" t="str">
        <f>IF(ISBLANK(数据源!U26),"",数据源!U26)</f>
        <v/>
      </c>
      <c r="M1" s="2" t="str">
        <f>IF(ISBLANK(数据源!V26),"",IF(数据源!V26="/",数据源!Y26,数据源!V26))</f>
        <v/>
      </c>
      <c r="N1" s="2" t="str">
        <f>IF(LEN(数据源!AI26)=0,IF(LEN(数据源!W26)=0,"",数据源!W26),数据源!AI26)</f>
        <v/>
      </c>
      <c r="O1" s="1"/>
      <c r="P1" s="2" t="str">
        <f>IF(ISBLANK(数据源!X26),"",数据源!X26)</f>
        <v/>
      </c>
      <c r="Q1" s="2" t="str">
        <f>IF(ISBLANK(数据源!Z26),"",IF(数据源!Z26="A","合格","不合格"))</f>
        <v/>
      </c>
      <c r="R1" s="2" t="str">
        <f>IF(ISBLANK(数据源!AA26),"",数据源!AA26)</f>
        <v/>
      </c>
      <c r="S1" s="2" t="str">
        <f>IF(ISBLANK(数据源!AC26),"",数据源!AC26)</f>
        <v/>
      </c>
      <c r="T1" s="2" t="str">
        <f>IF(ISBLANK(数据源!AE26),"",数据源!AE26)</f>
        <v/>
      </c>
      <c r="U1" s="62" t="s">
        <v>55</v>
      </c>
      <c r="V1" s="66" t="str">
        <f>IF(ISBLANK(数据源!H6),"天",CHOOSE(数据源!H6,"周","月","年"))</f>
        <v>天</v>
      </c>
      <c r="W1" s="63" t="str">
        <f>IF(ISBLANK(数据源!H6),"D",CHOOSE(数据源!H6,"W","M","Y"))</f>
        <v>D</v>
      </c>
      <c r="X1" s="66"/>
      <c r="Z1" t="s">
        <v>20</v>
      </c>
      <c r="AW1" s="1" t="str">
        <f>IF(数据源!K26="外检","#","")</f>
        <v/>
      </c>
      <c r="AX1" s="2" t="str">
        <f>IF(ISBLANK(数据源!Q26),"",数据源!Q26)</f>
        <v/>
      </c>
      <c r="AY1" s="2" t="str">
        <f>IF(ISBLANK(数据源!R26),"",数据源!R26)</f>
        <v/>
      </c>
      <c r="AZ1" s="2" t="str">
        <f>IF(LEN(数据源!P26)=0,IF(LEN(数据源!D26)=0,"",数据源!D26),数据源!P26)</f>
        <v/>
      </c>
      <c r="BA1" s="2"/>
      <c r="BB1" s="2" t="str">
        <f>IF(ISBLANK(数据源!E26),"",数据源!E26)</f>
        <v/>
      </c>
      <c r="BC1" s="2" t="str">
        <f>IF(ISBLANK(数据源!G26),"",IF(数据源!G26="A","Qualified","Unqualified"))</f>
        <v/>
      </c>
      <c r="BD1" s="2" t="str">
        <f>IF(ISBLANK(数据源!S26),"",数据源!S26)</f>
        <v/>
      </c>
      <c r="BE1" s="2" t="str">
        <f>IF(ISBLANK(数据源!J26),"",数据源!J26)</f>
        <v/>
      </c>
      <c r="BF1" s="2" t="str">
        <f>IF(ISBLANK(数据源!L26),"",数据源!L26)</f>
        <v/>
      </c>
      <c r="BG1" s="1" t="str">
        <f>IF(数据源!AD26="外检","#","")</f>
        <v/>
      </c>
      <c r="BH1" s="2" t="str">
        <f>IF(ISBLANK(数据源!AJ26),"",数据源!AJ26)</f>
        <v/>
      </c>
      <c r="BI1" s="2" t="str">
        <f>IF(ISBLANK(数据源!AK26),"",数据源!AK26)</f>
        <v/>
      </c>
      <c r="BJ1" s="2" t="str">
        <f>IF(LEN(数据源!AI26)=0,IF(LEN(数据源!W26)=0,"",数据源!W26),数据源!AI26)</f>
        <v/>
      </c>
      <c r="BK1" s="1"/>
      <c r="BL1" s="2" t="str">
        <f>IF(ISBLANK(数据源!X26),"",数据源!X26)</f>
        <v/>
      </c>
      <c r="BM1" s="2" t="str">
        <f>IF(ISBLANK(数据源!Z26),"",IF(数据源!Z26="A","Qualified","Unqualified"))</f>
        <v/>
      </c>
      <c r="BN1" s="2" t="str">
        <f>IF(ISBLANK(数据源!AL26),"",数据源!AL26)</f>
        <v/>
      </c>
      <c r="BO1" s="2" t="str">
        <f>IF(ISBLANK(数据源!AC26),"",数据源!AC26)</f>
        <v/>
      </c>
      <c r="BP1" s="2" t="str">
        <f>IF(ISBLANK(数据源!AE26),"",数据源!AE26)</f>
        <v/>
      </c>
      <c r="BV1" t="s">
        <v>20</v>
      </c>
      <c r="BW1" t="s">
        <v>20</v>
      </c>
      <c r="BX1" t="s">
        <v>20</v>
      </c>
      <c r="CF1" t="s">
        <v>20</v>
      </c>
      <c r="CG1" t="s">
        <v>20</v>
      </c>
      <c r="CH1" t="s">
        <v>20</v>
      </c>
      <c r="CP1" s="86" t="str">
        <f>IF(ISBLANK(数据源!AW26),"",数据源!AW26)</f>
        <v/>
      </c>
      <c r="CR1" s="86" t="str">
        <f>IF(ISBLANK(数据源!AX26),"",数据源!AX26)</f>
        <v/>
      </c>
      <c r="CS1" s="86" t="str">
        <f>IF(ISBLANK(数据源!AV26),"",数据源!AV26)</f>
        <v/>
      </c>
      <c r="CU1" s="87" t="s">
        <v>168</v>
      </c>
      <c r="CV1" s="86"/>
      <c r="CW1" s="86" t="str">
        <f>IF(ISBLANK(数据源!AU26),"",数据源!AU26)</f>
        <v/>
      </c>
      <c r="CZ1" t="s">
        <v>20</v>
      </c>
      <c r="DA1">
        <f>IF(数据源!L26&lt;&gt;"QA",0,数据源!O26)</f>
        <v>0</v>
      </c>
      <c r="DB1">
        <f>数据源!M26</f>
        <v>0</v>
      </c>
      <c r="DC1">
        <f>数据源!N26</f>
        <v>0</v>
      </c>
      <c r="DD1">
        <f>IF(数据源!L26&lt;&gt;"QC",0,数据源!O26)</f>
        <v>0</v>
      </c>
      <c r="DG1" t="s">
        <v>20</v>
      </c>
    </row>
    <row r="2" spans="1:111">
      <c r="A2" s="1" t="str">
        <f>IF(数据源!K27="外检","#","")</f>
        <v/>
      </c>
      <c r="B2" s="2" t="str">
        <f>IF(ISBLANK(数据源!B27),"",数据源!B27)</f>
        <v/>
      </c>
      <c r="C2" s="2" t="str">
        <f>IF(ISBLANK(数据源!C27),"",IF(数据源!C27="/",数据源!F27,数据源!C27))</f>
        <v/>
      </c>
      <c r="D2" s="2" t="str">
        <f>IF(LEN(数据源!P27)=0,IF(LEN(数据源!D27)=0,"",数据源!D27),数据源!P27)</f>
        <v/>
      </c>
      <c r="E2" s="2"/>
      <c r="F2" s="2" t="str">
        <f>IF(ISBLANK(数据源!E27),"",数据源!E27)</f>
        <v/>
      </c>
      <c r="G2" s="2" t="str">
        <f>IF(ISBLANK(数据源!G27),"",IF(数据源!G27="A","合格","不合格"))</f>
        <v/>
      </c>
      <c r="H2" s="2" t="str">
        <f>IF(ISBLANK(数据源!H27),"",数据源!H27)</f>
        <v/>
      </c>
      <c r="I2" s="2" t="str">
        <f>IF(ISBLANK(数据源!J27),"",数据源!J27)</f>
        <v/>
      </c>
      <c r="J2" s="2" t="str">
        <f>IF(ISBLANK(数据源!L27),"",数据源!L27)</f>
        <v/>
      </c>
      <c r="K2" s="1" t="str">
        <f>IF(数据源!AD27="外检","#","")</f>
        <v/>
      </c>
      <c r="L2" s="2" t="str">
        <f>IF(ISBLANK(数据源!U27),"",数据源!U27)</f>
        <v/>
      </c>
      <c r="M2" s="2" t="str">
        <f>IF(ISBLANK(数据源!V27),"",IF(数据源!V27="/",数据源!Y27,数据源!V27))</f>
        <v/>
      </c>
      <c r="N2" s="2" t="str">
        <f>IF(LEN(数据源!AI27)=0,IF(LEN(数据源!W27)=0,"",数据源!W27),数据源!AI27)</f>
        <v/>
      </c>
      <c r="O2" s="1"/>
      <c r="P2" s="2" t="str">
        <f>IF(ISBLANK(数据源!X27),"",数据源!X27)</f>
        <v/>
      </c>
      <c r="Q2" s="2" t="str">
        <f>IF(ISBLANK(数据源!Z27),"",IF(数据源!Z27="A","合格","不合格"))</f>
        <v/>
      </c>
      <c r="R2" s="2" t="str">
        <f>IF(ISBLANK(数据源!AA27),"",数据源!AA27)</f>
        <v/>
      </c>
      <c r="S2" s="2" t="str">
        <f>IF(ISBLANK(数据源!AC27),"",数据源!AC27)</f>
        <v/>
      </c>
      <c r="T2" s="2" t="str">
        <f>IF(ISBLANK(数据源!AE27),"",数据源!AE27)</f>
        <v/>
      </c>
      <c r="U2" s="62" t="s">
        <v>56</v>
      </c>
      <c r="V2" s="67" t="e">
        <f>LEFT(W2,4)&amp;"/"&amp;MID(W2,5,2)&amp;"/"&amp;MID(W2,7,2)</f>
        <v>#N/A</v>
      </c>
      <c r="W2" s="63" t="e">
        <f>LEFT(X2,8)</f>
        <v>#N/A</v>
      </c>
      <c r="X2" s="67" t="e">
        <f>INDEX(数据源!O26:O126,V3)</f>
        <v>#N/A</v>
      </c>
      <c r="Z2" t="s">
        <v>20</v>
      </c>
      <c r="AW2" s="1" t="str">
        <f>IF(数据源!K27="外检","#","")</f>
        <v/>
      </c>
      <c r="AX2" s="2" t="str">
        <f>IF(ISBLANK(数据源!Q27),"",数据源!Q27)</f>
        <v/>
      </c>
      <c r="AY2" s="2" t="str">
        <f>IF(ISBLANK(数据源!R27),"",数据源!R27)</f>
        <v/>
      </c>
      <c r="AZ2" s="2" t="str">
        <f>IF(LEN(数据源!P27)=0,IF(LEN(数据源!D27)=0,"",数据源!D27),数据源!P27)</f>
        <v/>
      </c>
      <c r="BA2" s="2"/>
      <c r="BB2" s="2" t="str">
        <f>IF(ISBLANK(数据源!E27),"",数据源!E27)</f>
        <v/>
      </c>
      <c r="BC2" s="2" t="str">
        <f>IF(ISBLANK(数据源!G27),"",IF(数据源!G27="A","Qualified","Unqualified"))</f>
        <v/>
      </c>
      <c r="BD2" s="2" t="str">
        <f>IF(ISBLANK(数据源!S27),"",数据源!S27)</f>
        <v/>
      </c>
      <c r="BE2" s="2" t="str">
        <f>IF(ISBLANK(数据源!J27),"",数据源!J27)</f>
        <v/>
      </c>
      <c r="BF2" s="2" t="str">
        <f>IF(ISBLANK(数据源!L27),"",数据源!L27)</f>
        <v/>
      </c>
      <c r="BG2" s="1" t="str">
        <f>IF(数据源!AD27="外检","#","")</f>
        <v/>
      </c>
      <c r="BH2" s="2" t="str">
        <f>IF(ISBLANK(数据源!AJ27),"",数据源!AJ27)</f>
        <v/>
      </c>
      <c r="BI2" s="2" t="str">
        <f>IF(ISBLANK(数据源!AK27),"",数据源!AK27)</f>
        <v/>
      </c>
      <c r="BJ2" s="2" t="str">
        <f>IF(LEN(数据源!AI27)=0,IF(LEN(数据源!W27)=0,"",数据源!W27),数据源!AI27)</f>
        <v/>
      </c>
      <c r="BK2" s="1"/>
      <c r="BL2" s="2" t="str">
        <f>IF(ISBLANK(数据源!X27),"",数据源!X27)</f>
        <v/>
      </c>
      <c r="BM2" s="2" t="str">
        <f>IF(ISBLANK(数据源!Z27),"",IF(数据源!Z27="A","Qualified","Unqualified"))</f>
        <v/>
      </c>
      <c r="BN2" s="2" t="str">
        <f>IF(ISBLANK(数据源!AL27),"",数据源!AL27)</f>
        <v/>
      </c>
      <c r="BO2" s="2" t="str">
        <f>IF(ISBLANK(数据源!AC27),"",数据源!AC27)</f>
        <v/>
      </c>
      <c r="BP2" s="2" t="str">
        <f>IF(ISBLANK(数据源!AE27),"",数据源!AE27)</f>
        <v/>
      </c>
      <c r="BV2" t="s">
        <v>20</v>
      </c>
      <c r="BW2" t="s">
        <v>20</v>
      </c>
      <c r="BX2" t="s">
        <v>20</v>
      </c>
      <c r="CF2" t="s">
        <v>20</v>
      </c>
      <c r="CG2" t="s">
        <v>20</v>
      </c>
      <c r="CH2" t="s">
        <v>20</v>
      </c>
      <c r="CP2" s="86" t="str">
        <f>IF(ISBLANK(数据源!AW27),"",数据源!AW27)</f>
        <v/>
      </c>
      <c r="CQ2" s="86"/>
      <c r="CR2" s="86" t="str">
        <f>IF(ISBLANK(数据源!AX27),"",数据源!AX27)</f>
        <v/>
      </c>
      <c r="CS2" s="86" t="str">
        <f>IF(ISBLANK(数据源!AV27),"",数据源!AV27)</f>
        <v/>
      </c>
      <c r="CT2" s="86"/>
      <c r="CU2" s="87" t="s">
        <v>168</v>
      </c>
      <c r="CV2" s="86"/>
      <c r="CW2" s="86" t="str">
        <f>IF(ISBLANK(数据源!AU27),"",数据源!AU27)</f>
        <v/>
      </c>
      <c r="CZ2" t="s">
        <v>20</v>
      </c>
      <c r="DA2" s="97">
        <f>IF(数据源!L27&lt;&gt;"QA",0,数据源!O27)</f>
        <v>0</v>
      </c>
      <c r="DB2" s="97">
        <f>数据源!M27</f>
        <v>0</v>
      </c>
      <c r="DC2" s="97">
        <f>数据源!N27</f>
        <v>0</v>
      </c>
      <c r="DD2" s="97">
        <f>IF(数据源!L27&lt;&gt;"QC",0,数据源!O27)</f>
        <v>0</v>
      </c>
      <c r="DG2" t="s">
        <v>20</v>
      </c>
    </row>
    <row r="3" spans="1:111">
      <c r="A3" s="1" t="str">
        <f>IF(数据源!K28="外检","#","")</f>
        <v/>
      </c>
      <c r="B3" s="2" t="str">
        <f>IF(ISBLANK(数据源!B28),"",数据源!B28)</f>
        <v/>
      </c>
      <c r="C3" s="2" t="str">
        <f>IF(ISBLANK(数据源!C28),"",IF(数据源!C28="/",数据源!F28,数据源!C28))</f>
        <v/>
      </c>
      <c r="D3" s="2" t="str">
        <f>IF(LEN(数据源!P28)=0,IF(LEN(数据源!D28)=0,"",数据源!D28),数据源!P28)</f>
        <v/>
      </c>
      <c r="E3" s="2"/>
      <c r="F3" s="2" t="str">
        <f>IF(ISBLANK(数据源!E28),"",数据源!E28)</f>
        <v/>
      </c>
      <c r="G3" s="2" t="str">
        <f>IF(ISBLANK(数据源!G28),"",IF(数据源!G28="A","合格","不合格"))</f>
        <v/>
      </c>
      <c r="H3" s="2" t="str">
        <f>IF(ISBLANK(数据源!H28),"",数据源!H28)</f>
        <v/>
      </c>
      <c r="I3" s="2" t="str">
        <f>IF(ISBLANK(数据源!J28),"",数据源!J28)</f>
        <v/>
      </c>
      <c r="J3" s="2" t="str">
        <f>IF(ISBLANK(数据源!L28),"",数据源!L28)</f>
        <v/>
      </c>
      <c r="K3" s="1" t="str">
        <f>IF(数据源!AD28="外检","#","")</f>
        <v/>
      </c>
      <c r="L3" s="2" t="str">
        <f>IF(ISBLANK(数据源!U28),"",数据源!U28)</f>
        <v/>
      </c>
      <c r="M3" s="2" t="str">
        <f>IF(ISBLANK(数据源!V28),"",IF(数据源!V28="/",数据源!Y28,数据源!V28))</f>
        <v/>
      </c>
      <c r="N3" s="2" t="str">
        <f>IF(LEN(数据源!AI28)=0,IF(LEN(数据源!W28)=0,"",数据源!W28),数据源!AI28)</f>
        <v/>
      </c>
      <c r="O3" s="1"/>
      <c r="P3" s="2" t="str">
        <f>IF(ISBLANK(数据源!X28),"",数据源!X28)</f>
        <v/>
      </c>
      <c r="Q3" s="2" t="str">
        <f>IF(ISBLANK(数据源!Z28),"",IF(数据源!Z28="A","合格","不合格"))</f>
        <v/>
      </c>
      <c r="R3" s="2" t="str">
        <f>IF(ISBLANK(数据源!AA28),"",数据源!AA28)</f>
        <v/>
      </c>
      <c r="S3" s="2" t="str">
        <f>IF(ISBLANK(数据源!AC28),"",数据源!AC28)</f>
        <v/>
      </c>
      <c r="T3" s="2" t="str">
        <f>IF(ISBLANK(数据源!AE28),"",数据源!AE28)</f>
        <v/>
      </c>
      <c r="U3" s="62" t="s">
        <v>57</v>
      </c>
      <c r="V3" s="67" t="e">
        <f>MATCH(MAX(数据源!O26:O126),数据源!O26:O126,0)</f>
        <v>#N/A</v>
      </c>
      <c r="W3" s="280">
        <f>MATCH(MAX(数据修正!DA1:DA100),数据修正!DA1:DA100,0)</f>
        <v>1</v>
      </c>
      <c r="X3" s="281">
        <f>MATCH(MAX(数据修正!DD1:DD100),数据修正!DD1:DD100,0)</f>
        <v>1</v>
      </c>
      <c r="Z3" t="s">
        <v>20</v>
      </c>
      <c r="AW3" s="1" t="str">
        <f>IF(数据源!K28="外检","#","")</f>
        <v/>
      </c>
      <c r="AX3" s="2" t="str">
        <f>IF(ISBLANK(数据源!Q28),"",数据源!Q28)</f>
        <v/>
      </c>
      <c r="AY3" s="2" t="str">
        <f>IF(ISBLANK(数据源!R28),"",数据源!R28)</f>
        <v/>
      </c>
      <c r="AZ3" s="2" t="str">
        <f>IF(LEN(数据源!P28)=0,IF(LEN(数据源!D28)=0,"",数据源!D28),数据源!P28)</f>
        <v/>
      </c>
      <c r="BA3" s="2"/>
      <c r="BB3" s="2" t="str">
        <f>IF(ISBLANK(数据源!E28),"",数据源!E28)</f>
        <v/>
      </c>
      <c r="BC3" s="2" t="str">
        <f>IF(ISBLANK(数据源!G28),"",IF(数据源!G28="A","Qualified","Unqualified"))</f>
        <v/>
      </c>
      <c r="BD3" s="2" t="str">
        <f>IF(ISBLANK(数据源!S28),"",数据源!S28)</f>
        <v/>
      </c>
      <c r="BE3" s="2" t="str">
        <f>IF(ISBLANK(数据源!J28),"",数据源!J28)</f>
        <v/>
      </c>
      <c r="BF3" s="2" t="str">
        <f>IF(ISBLANK(数据源!L28),"",数据源!L28)</f>
        <v/>
      </c>
      <c r="BG3" s="1" t="str">
        <f>IF(数据源!AD28="外检","#","")</f>
        <v/>
      </c>
      <c r="BH3" s="2" t="str">
        <f>IF(ISBLANK(数据源!AJ28),"",数据源!AJ28)</f>
        <v/>
      </c>
      <c r="BI3" s="2" t="str">
        <f>IF(ISBLANK(数据源!AK28),"",数据源!AK28)</f>
        <v/>
      </c>
      <c r="BJ3" s="2" t="str">
        <f>IF(LEN(数据源!AI28)=0,IF(LEN(数据源!W28)=0,"",数据源!W28),数据源!AI28)</f>
        <v/>
      </c>
      <c r="BK3" s="1"/>
      <c r="BL3" s="2" t="str">
        <f>IF(ISBLANK(数据源!X28),"",数据源!X28)</f>
        <v/>
      </c>
      <c r="BM3" s="2" t="str">
        <f>IF(ISBLANK(数据源!Z28),"",IF(数据源!Z28="A","Qualified","Unqualified"))</f>
        <v/>
      </c>
      <c r="BN3" s="2" t="str">
        <f>IF(ISBLANK(数据源!AL28),"",数据源!AL28)</f>
        <v/>
      </c>
      <c r="BO3" s="2" t="str">
        <f>IF(ISBLANK(数据源!AC28),"",数据源!AC28)</f>
        <v/>
      </c>
      <c r="BP3" s="2" t="str">
        <f>IF(ISBLANK(数据源!AE28),"",数据源!AE28)</f>
        <v/>
      </c>
      <c r="BV3" t="s">
        <v>20</v>
      </c>
      <c r="BW3" t="s">
        <v>20</v>
      </c>
      <c r="BX3" t="s">
        <v>20</v>
      </c>
      <c r="CF3" t="s">
        <v>20</v>
      </c>
      <c r="CG3" t="s">
        <v>20</v>
      </c>
      <c r="CH3" t="s">
        <v>20</v>
      </c>
      <c r="CP3" s="86" t="str">
        <f>IF(ISBLANK(数据源!AW28),"",数据源!AW28)</f>
        <v/>
      </c>
      <c r="CQ3" s="86"/>
      <c r="CR3" s="86" t="str">
        <f>IF(ISBLANK(数据源!AX28),"",数据源!AX28)</f>
        <v/>
      </c>
      <c r="CS3" s="86" t="str">
        <f>IF(ISBLANK(数据源!AV28),"",数据源!AV28)</f>
        <v/>
      </c>
      <c r="CT3" s="86"/>
      <c r="CU3" s="87" t="s">
        <v>168</v>
      </c>
      <c r="CV3" s="86"/>
      <c r="CW3" s="86" t="str">
        <f>IF(ISBLANK(数据源!AU28),"",数据源!AU28)</f>
        <v/>
      </c>
      <c r="CZ3" t="s">
        <v>20</v>
      </c>
      <c r="DA3" s="97">
        <f>IF(数据源!L28&lt;&gt;"QA",0,数据源!O28)</f>
        <v>0</v>
      </c>
      <c r="DB3" s="97">
        <f>数据源!M28</f>
        <v>0</v>
      </c>
      <c r="DC3" s="97">
        <f>数据源!N28</f>
        <v>0</v>
      </c>
      <c r="DD3" s="97">
        <f>IF(数据源!L28&lt;&gt;"QC",0,数据源!O28)</f>
        <v>0</v>
      </c>
      <c r="DG3" t="s">
        <v>20</v>
      </c>
    </row>
    <row r="4" spans="1:111">
      <c r="A4" s="1" t="str">
        <f>IF(数据源!K29="外检","#","")</f>
        <v/>
      </c>
      <c r="B4" s="2" t="str">
        <f>IF(ISBLANK(数据源!B29),"",数据源!B29)</f>
        <v/>
      </c>
      <c r="C4" s="2" t="str">
        <f>IF(ISBLANK(数据源!C29),"",IF(数据源!C29="/",数据源!F29,数据源!C29))</f>
        <v/>
      </c>
      <c r="D4" s="2" t="str">
        <f>IF(LEN(数据源!P29)=0,IF(LEN(数据源!D29)=0,"",数据源!D29),数据源!P29)</f>
        <v/>
      </c>
      <c r="E4" s="2"/>
      <c r="F4" s="2" t="str">
        <f>IF(ISBLANK(数据源!E29),"",数据源!E29)</f>
        <v/>
      </c>
      <c r="G4" s="2" t="str">
        <f>IF(ISBLANK(数据源!G29),"",IF(数据源!G29="A","合格","不合格"))</f>
        <v/>
      </c>
      <c r="H4" s="2" t="str">
        <f>IF(ISBLANK(数据源!H29),"",数据源!H29)</f>
        <v/>
      </c>
      <c r="I4" s="2" t="str">
        <f>IF(ISBLANK(数据源!J29),"",数据源!J29)</f>
        <v/>
      </c>
      <c r="J4" s="2" t="str">
        <f>IF(ISBLANK(数据源!L29),"",数据源!L29)</f>
        <v/>
      </c>
      <c r="K4" s="1" t="str">
        <f>IF(数据源!AD29="外检","#","")</f>
        <v/>
      </c>
      <c r="L4" s="2" t="str">
        <f>IF(ISBLANK(数据源!U29),"",数据源!U29)</f>
        <v/>
      </c>
      <c r="M4" s="2" t="str">
        <f>IF(ISBLANK(数据源!V29),"",IF(数据源!V29="/",数据源!Y29,数据源!V29))</f>
        <v/>
      </c>
      <c r="N4" s="2" t="str">
        <f>IF(LEN(数据源!AI29)=0,IF(LEN(数据源!W29)=0,"",数据源!W29),数据源!AI29)</f>
        <v/>
      </c>
      <c r="O4" s="1"/>
      <c r="P4" s="2" t="str">
        <f>IF(ISBLANK(数据源!X29),"",数据源!X29)</f>
        <v/>
      </c>
      <c r="Q4" s="2" t="str">
        <f>IF(ISBLANK(数据源!Z29),"",IF(数据源!Z29="A","合格","不合格"))</f>
        <v/>
      </c>
      <c r="R4" s="2" t="str">
        <f>IF(ISBLANK(数据源!AA29),"",数据源!AA29)</f>
        <v/>
      </c>
      <c r="S4" s="2" t="str">
        <f>IF(ISBLANK(数据源!AC29),"",数据源!AC29)</f>
        <v/>
      </c>
      <c r="T4" s="2" t="str">
        <f>IF(ISBLANK(数据源!AE29),"",数据源!AE29)</f>
        <v/>
      </c>
      <c r="U4" s="62" t="s">
        <v>58</v>
      </c>
      <c r="V4" s="62" t="e">
        <f>INDEX(数据源!M26:M126,V3)</f>
        <v>#N/A</v>
      </c>
      <c r="W4" s="280">
        <f>INDEX(数据修正!DB1:DB100,W3)</f>
        <v>0</v>
      </c>
      <c r="X4" s="281">
        <f>INDEX(数据修正!DB1:DB100,X3)</f>
        <v>0</v>
      </c>
      <c r="Z4" t="s">
        <v>20</v>
      </c>
      <c r="AW4" s="1" t="str">
        <f>IF(数据源!K29="外检","#","")</f>
        <v/>
      </c>
      <c r="AX4" s="2" t="str">
        <f>IF(ISBLANK(数据源!Q29),"",数据源!Q29)</f>
        <v/>
      </c>
      <c r="AY4" s="2" t="str">
        <f>IF(ISBLANK(数据源!R29),"",数据源!R29)</f>
        <v/>
      </c>
      <c r="AZ4" s="2" t="str">
        <f>IF(LEN(数据源!P29)=0,IF(LEN(数据源!D29)=0,"",数据源!D29),数据源!P29)</f>
        <v/>
      </c>
      <c r="BA4" s="2"/>
      <c r="BB4" s="2" t="str">
        <f>IF(ISBLANK(数据源!E29),"",数据源!E29)</f>
        <v/>
      </c>
      <c r="BC4" s="2" t="str">
        <f>IF(ISBLANK(数据源!G29),"",IF(数据源!G29="A","Qualified","Unqualified"))</f>
        <v/>
      </c>
      <c r="BD4" s="2" t="str">
        <f>IF(ISBLANK(数据源!S29),"",数据源!S29)</f>
        <v/>
      </c>
      <c r="BE4" s="2" t="str">
        <f>IF(ISBLANK(数据源!J29),"",数据源!J29)</f>
        <v/>
      </c>
      <c r="BF4" s="2" t="str">
        <f>IF(ISBLANK(数据源!L29),"",数据源!L29)</f>
        <v/>
      </c>
      <c r="BG4" s="1" t="str">
        <f>IF(数据源!AD29="外检","#","")</f>
        <v/>
      </c>
      <c r="BH4" s="2" t="str">
        <f>IF(ISBLANK(数据源!AJ29),"",数据源!AJ29)</f>
        <v/>
      </c>
      <c r="BI4" s="2" t="str">
        <f>IF(ISBLANK(数据源!AK29),"",数据源!AK29)</f>
        <v/>
      </c>
      <c r="BJ4" s="2" t="str">
        <f>IF(LEN(数据源!AI29)=0,IF(LEN(数据源!W29)=0,"",数据源!W29),数据源!AI29)</f>
        <v/>
      </c>
      <c r="BK4" s="1"/>
      <c r="BL4" s="2" t="str">
        <f>IF(ISBLANK(数据源!X29),"",数据源!X29)</f>
        <v/>
      </c>
      <c r="BM4" s="2" t="str">
        <f>IF(ISBLANK(数据源!Z29),"",IF(数据源!Z29="A","Qualified","Unqualified"))</f>
        <v/>
      </c>
      <c r="BN4" s="2" t="str">
        <f>IF(ISBLANK(数据源!AL29),"",数据源!AL29)</f>
        <v/>
      </c>
      <c r="BO4" s="2" t="str">
        <f>IF(ISBLANK(数据源!AC29),"",数据源!AC29)</f>
        <v/>
      </c>
      <c r="BP4" s="2" t="str">
        <f>IF(ISBLANK(数据源!AE29),"",数据源!AE29)</f>
        <v/>
      </c>
      <c r="BV4" t="s">
        <v>20</v>
      </c>
      <c r="BW4" t="s">
        <v>20</v>
      </c>
      <c r="BX4" t="s">
        <v>20</v>
      </c>
      <c r="CF4" t="s">
        <v>20</v>
      </c>
      <c r="CG4" t="s">
        <v>20</v>
      </c>
      <c r="CH4" t="s">
        <v>20</v>
      </c>
      <c r="CP4" s="86" t="str">
        <f>IF(ISBLANK(数据源!AW29),"",数据源!AW29)</f>
        <v/>
      </c>
      <c r="CQ4" s="86"/>
      <c r="CR4" s="86" t="str">
        <f>IF(ISBLANK(数据源!AX29),"",数据源!AX29)</f>
        <v/>
      </c>
      <c r="CS4" s="86" t="str">
        <f>IF(ISBLANK(数据源!AV29),"",数据源!AV29)</f>
        <v/>
      </c>
      <c r="CT4" s="86"/>
      <c r="CU4" s="87" t="s">
        <v>168</v>
      </c>
      <c r="CV4" s="86"/>
      <c r="CW4" s="86" t="str">
        <f>IF(ISBLANK(数据源!AU29),"",数据源!AU29)</f>
        <v/>
      </c>
      <c r="CZ4" t="s">
        <v>20</v>
      </c>
      <c r="DA4" s="97">
        <f>IF(数据源!L29&lt;&gt;"QA",0,数据源!O29)</f>
        <v>0</v>
      </c>
      <c r="DB4" s="97">
        <f>数据源!M29</f>
        <v>0</v>
      </c>
      <c r="DC4" s="97">
        <f>数据源!N29</f>
        <v>0</v>
      </c>
      <c r="DD4" s="97">
        <f>IF(数据源!L29&lt;&gt;"QC",0,数据源!O29)</f>
        <v>0</v>
      </c>
      <c r="DG4" t="s">
        <v>20</v>
      </c>
    </row>
    <row r="5" spans="1:111">
      <c r="A5" s="1" t="str">
        <f>IF(数据源!K30="外检","#","")</f>
        <v/>
      </c>
      <c r="B5" s="2" t="str">
        <f>IF(ISBLANK(数据源!B30),"",数据源!B30)</f>
        <v/>
      </c>
      <c r="C5" s="2" t="str">
        <f>IF(ISBLANK(数据源!C30),"",IF(数据源!C30="/",数据源!F30,数据源!C30))</f>
        <v/>
      </c>
      <c r="D5" s="2" t="str">
        <f>IF(LEN(数据源!P30)=0,IF(LEN(数据源!D30)=0,"",数据源!D30),数据源!P30)</f>
        <v/>
      </c>
      <c r="E5" s="2"/>
      <c r="F5" s="2" t="str">
        <f>IF(ISBLANK(数据源!E30),"",数据源!E30)</f>
        <v/>
      </c>
      <c r="G5" s="2" t="str">
        <f>IF(ISBLANK(数据源!G30),"",IF(数据源!G30="A","合格","不合格"))</f>
        <v/>
      </c>
      <c r="H5" s="2" t="str">
        <f>IF(ISBLANK(数据源!H30),"",数据源!H30)</f>
        <v/>
      </c>
      <c r="I5" s="2" t="str">
        <f>IF(ISBLANK(数据源!J30),"",数据源!J30)</f>
        <v/>
      </c>
      <c r="J5" s="2" t="str">
        <f>IF(ISBLANK(数据源!L30),"",数据源!L30)</f>
        <v/>
      </c>
      <c r="K5" s="1" t="str">
        <f>IF(数据源!AD30="外检","#","")</f>
        <v/>
      </c>
      <c r="L5" s="2" t="str">
        <f>IF(ISBLANK(数据源!U30),"",数据源!U30)</f>
        <v/>
      </c>
      <c r="M5" s="2" t="str">
        <f>IF(ISBLANK(数据源!V30),"",IF(数据源!V30="/",数据源!Y30,数据源!V30))</f>
        <v/>
      </c>
      <c r="N5" s="2" t="str">
        <f>IF(LEN(数据源!AI30)=0,IF(LEN(数据源!W30)=0,"",数据源!W30),数据源!AI30)</f>
        <v/>
      </c>
      <c r="O5" s="1"/>
      <c r="P5" s="2" t="str">
        <f>IF(ISBLANK(数据源!X30),"",数据源!X30)</f>
        <v/>
      </c>
      <c r="Q5" s="2" t="str">
        <f>IF(ISBLANK(数据源!Z30),"",IF(数据源!Z30="A","合格","不合格"))</f>
        <v/>
      </c>
      <c r="R5" s="2" t="str">
        <f>IF(ISBLANK(数据源!AA30),"",数据源!AA30)</f>
        <v/>
      </c>
      <c r="S5" s="2" t="str">
        <f>IF(ISBLANK(数据源!AC30),"",数据源!AC30)</f>
        <v/>
      </c>
      <c r="T5" s="2" t="str">
        <f>IF(ISBLANK(数据源!AE30),"",数据源!AE30)</f>
        <v/>
      </c>
      <c r="U5" s="62" t="s">
        <v>59</v>
      </c>
      <c r="V5" s="62" t="e">
        <f>INDEX(数据源!N26:N126,V3)</f>
        <v>#N/A</v>
      </c>
      <c r="W5" s="280">
        <f>INDEX(数据修正!DC1:DC100,W3)</f>
        <v>0</v>
      </c>
      <c r="X5" s="281">
        <f>INDEX(数据修正!DC1:DC100,X3)</f>
        <v>0</v>
      </c>
      <c r="Z5" t="s">
        <v>20</v>
      </c>
      <c r="AW5" s="1" t="str">
        <f>IF(数据源!K30="外检","#","")</f>
        <v/>
      </c>
      <c r="AX5" s="2" t="str">
        <f>IF(ISBLANK(数据源!Q30),"",数据源!Q30)</f>
        <v/>
      </c>
      <c r="AY5" s="2" t="str">
        <f>IF(ISBLANK(数据源!R30),"",数据源!R30)</f>
        <v/>
      </c>
      <c r="AZ5" s="2" t="str">
        <f>IF(LEN(数据源!P30)=0,IF(LEN(数据源!D30)=0,"",数据源!D30),数据源!P30)</f>
        <v/>
      </c>
      <c r="BA5" s="2"/>
      <c r="BB5" s="2" t="str">
        <f>IF(ISBLANK(数据源!E30),"",数据源!E30)</f>
        <v/>
      </c>
      <c r="BC5" s="2" t="str">
        <f>IF(ISBLANK(数据源!G30),"",IF(数据源!G30="A","Qualified","Unqualified"))</f>
        <v/>
      </c>
      <c r="BD5" s="2" t="str">
        <f>IF(ISBLANK(数据源!S30),"",数据源!S30)</f>
        <v/>
      </c>
      <c r="BE5" s="2" t="str">
        <f>IF(ISBLANK(数据源!J30),"",数据源!J30)</f>
        <v/>
      </c>
      <c r="BF5" s="2" t="str">
        <f>IF(ISBLANK(数据源!L30),"",数据源!L30)</f>
        <v/>
      </c>
      <c r="BG5" s="1" t="str">
        <f>IF(数据源!AD30="外检","#","")</f>
        <v/>
      </c>
      <c r="BH5" s="2" t="str">
        <f>IF(ISBLANK(数据源!AJ30),"",数据源!AJ30)</f>
        <v/>
      </c>
      <c r="BI5" s="2" t="str">
        <f>IF(ISBLANK(数据源!AK30),"",数据源!AK30)</f>
        <v/>
      </c>
      <c r="BJ5" s="2" t="str">
        <f>IF(LEN(数据源!AI30)=0,IF(LEN(数据源!W30)=0,"",数据源!W30),数据源!AI30)</f>
        <v/>
      </c>
      <c r="BK5" s="1"/>
      <c r="BL5" s="2" t="str">
        <f>IF(ISBLANK(数据源!X30),"",数据源!X30)</f>
        <v/>
      </c>
      <c r="BM5" s="2" t="str">
        <f>IF(ISBLANK(数据源!Z30),"",IF(数据源!Z30="A","Qualified","Unqualified"))</f>
        <v/>
      </c>
      <c r="BN5" s="2" t="str">
        <f>IF(ISBLANK(数据源!AL30),"",数据源!AL30)</f>
        <v/>
      </c>
      <c r="BO5" s="2" t="str">
        <f>IF(ISBLANK(数据源!AC30),"",数据源!AC30)</f>
        <v/>
      </c>
      <c r="BP5" s="2" t="str">
        <f>IF(ISBLANK(数据源!AE30),"",数据源!AE30)</f>
        <v/>
      </c>
      <c r="BV5" t="s">
        <v>20</v>
      </c>
      <c r="BW5" t="s">
        <v>20</v>
      </c>
      <c r="BX5" t="s">
        <v>20</v>
      </c>
      <c r="CF5" t="s">
        <v>20</v>
      </c>
      <c r="CG5" t="s">
        <v>20</v>
      </c>
      <c r="CH5" t="s">
        <v>20</v>
      </c>
      <c r="CP5" s="86" t="str">
        <f>IF(ISBLANK(数据源!AW30),"",数据源!AW30)</f>
        <v/>
      </c>
      <c r="CQ5" s="86"/>
      <c r="CR5" s="86" t="str">
        <f>IF(ISBLANK(数据源!AX30),"",数据源!AX30)</f>
        <v/>
      </c>
      <c r="CS5" s="86" t="str">
        <f>IF(ISBLANK(数据源!AV30),"",数据源!AV30)</f>
        <v/>
      </c>
      <c r="CT5" s="86"/>
      <c r="CU5" s="87" t="s">
        <v>168</v>
      </c>
      <c r="CV5" s="86"/>
      <c r="CW5" s="86" t="str">
        <f>IF(ISBLANK(数据源!AU30),"",数据源!AU30)</f>
        <v/>
      </c>
      <c r="CZ5" t="s">
        <v>20</v>
      </c>
      <c r="DA5" s="97">
        <f>IF(数据源!L30&lt;&gt;"QA",0,数据源!O30)</f>
        <v>0</v>
      </c>
      <c r="DB5" s="97">
        <f>数据源!M30</f>
        <v>0</v>
      </c>
      <c r="DC5" s="97">
        <f>数据源!N30</f>
        <v>0</v>
      </c>
      <c r="DD5" s="97">
        <f>IF(数据源!L30&lt;&gt;"QC",0,数据源!O30)</f>
        <v>0</v>
      </c>
      <c r="DG5" t="s">
        <v>20</v>
      </c>
    </row>
    <row r="6" spans="1:111">
      <c r="A6" s="1" t="str">
        <f>IF(数据源!K31="外检","#","")</f>
        <v/>
      </c>
      <c r="B6" s="2" t="str">
        <f>IF(ISBLANK(数据源!B31),"",数据源!B31)</f>
        <v/>
      </c>
      <c r="C6" s="2" t="str">
        <f>IF(ISBLANK(数据源!C31),"",IF(数据源!C31="/",数据源!F31,数据源!C31))</f>
        <v/>
      </c>
      <c r="D6" s="2" t="str">
        <f>IF(LEN(数据源!P31)=0,IF(LEN(数据源!D31)=0,"",数据源!D31),数据源!P31)</f>
        <v/>
      </c>
      <c r="E6" s="2"/>
      <c r="F6" s="2" t="str">
        <f>IF(ISBLANK(数据源!E31),"",数据源!E31)</f>
        <v/>
      </c>
      <c r="G6" s="2" t="str">
        <f>IF(ISBLANK(数据源!G31),"",IF(数据源!G31="A","合格","不合格"))</f>
        <v/>
      </c>
      <c r="H6" s="2" t="str">
        <f>IF(ISBLANK(数据源!H31),"",数据源!H31)</f>
        <v/>
      </c>
      <c r="I6" s="2" t="str">
        <f>IF(ISBLANK(数据源!J31),"",数据源!J31)</f>
        <v/>
      </c>
      <c r="J6" s="2" t="str">
        <f>IF(ISBLANK(数据源!L31),"",数据源!L31)</f>
        <v/>
      </c>
      <c r="K6" s="1" t="str">
        <f>IF(数据源!AD31="外检","#","")</f>
        <v/>
      </c>
      <c r="L6" s="2" t="str">
        <f>IF(ISBLANK(数据源!U31),"",数据源!U31)</f>
        <v/>
      </c>
      <c r="M6" s="2" t="str">
        <f>IF(ISBLANK(数据源!V31),"",IF(数据源!V31="/",数据源!Y31,数据源!V31))</f>
        <v/>
      </c>
      <c r="N6" s="2" t="str">
        <f>IF(LEN(数据源!AI31)=0,IF(LEN(数据源!W31)=0,"",数据源!W31),数据源!AI31)</f>
        <v/>
      </c>
      <c r="O6" s="1"/>
      <c r="P6" s="2" t="str">
        <f>IF(ISBLANK(数据源!X31),"",数据源!X31)</f>
        <v/>
      </c>
      <c r="Q6" s="2" t="str">
        <f>IF(ISBLANK(数据源!Z31),"",IF(数据源!Z31="A","合格","不合格"))</f>
        <v/>
      </c>
      <c r="R6" s="2" t="str">
        <f>IF(ISBLANK(数据源!AA31),"",数据源!AA31)</f>
        <v/>
      </c>
      <c r="S6" s="2" t="str">
        <f>IF(ISBLANK(数据源!AC31),"",数据源!AC31)</f>
        <v/>
      </c>
      <c r="T6" s="2" t="str">
        <f>IF(ISBLANK(数据源!AE31),"",数据源!AE31)</f>
        <v/>
      </c>
      <c r="U6" s="66"/>
      <c r="V6" s="66"/>
      <c r="W6" s="66"/>
      <c r="X6" s="66"/>
      <c r="Z6" t="s">
        <v>20</v>
      </c>
      <c r="AW6" s="1" t="str">
        <f>IF(数据源!K31="外检","#","")</f>
        <v/>
      </c>
      <c r="AX6" s="2" t="str">
        <f>IF(ISBLANK(数据源!Q31),"",数据源!Q31)</f>
        <v/>
      </c>
      <c r="AY6" s="2" t="str">
        <f>IF(ISBLANK(数据源!R31),"",数据源!R31)</f>
        <v/>
      </c>
      <c r="AZ6" s="2" t="str">
        <f>IF(LEN(数据源!P31)=0,IF(LEN(数据源!D31)=0,"",数据源!D31),数据源!P31)</f>
        <v/>
      </c>
      <c r="BA6" s="2"/>
      <c r="BB6" s="2" t="str">
        <f>IF(ISBLANK(数据源!E31),"",数据源!E31)</f>
        <v/>
      </c>
      <c r="BC6" s="2" t="str">
        <f>IF(ISBLANK(数据源!G31),"",IF(数据源!G31="A","Qualified","Unqualified"))</f>
        <v/>
      </c>
      <c r="BD6" s="2" t="str">
        <f>IF(ISBLANK(数据源!S31),"",数据源!S31)</f>
        <v/>
      </c>
      <c r="BE6" s="2" t="str">
        <f>IF(ISBLANK(数据源!J31),"",数据源!J31)</f>
        <v/>
      </c>
      <c r="BF6" s="2" t="str">
        <f>IF(ISBLANK(数据源!L31),"",数据源!L31)</f>
        <v/>
      </c>
      <c r="BG6" s="1" t="str">
        <f>IF(数据源!AD31="外检","#","")</f>
        <v/>
      </c>
      <c r="BH6" s="2" t="str">
        <f>IF(ISBLANK(数据源!AJ31),"",数据源!AJ31)</f>
        <v/>
      </c>
      <c r="BI6" s="2" t="str">
        <f>IF(ISBLANK(数据源!AK31),"",数据源!AK31)</f>
        <v/>
      </c>
      <c r="BJ6" s="2" t="str">
        <f>IF(LEN(数据源!AI31)=0,IF(LEN(数据源!W31)=0,"",数据源!W31),数据源!AI31)</f>
        <v/>
      </c>
      <c r="BK6" s="1"/>
      <c r="BL6" s="2" t="str">
        <f>IF(ISBLANK(数据源!X31),"",数据源!X31)</f>
        <v/>
      </c>
      <c r="BM6" s="2" t="str">
        <f>IF(ISBLANK(数据源!Z31),"",IF(数据源!Z31="A","Qualified","Unqualified"))</f>
        <v/>
      </c>
      <c r="BN6" s="2" t="str">
        <f>IF(ISBLANK(数据源!AL31),"",数据源!AL31)</f>
        <v/>
      </c>
      <c r="BO6" s="2" t="str">
        <f>IF(ISBLANK(数据源!AC31),"",数据源!AC31)</f>
        <v/>
      </c>
      <c r="BP6" s="2" t="str">
        <f>IF(ISBLANK(数据源!AE31),"",数据源!AE31)</f>
        <v/>
      </c>
      <c r="BV6" t="s">
        <v>20</v>
      </c>
      <c r="BW6" t="s">
        <v>20</v>
      </c>
      <c r="BX6" t="s">
        <v>20</v>
      </c>
      <c r="CF6" t="s">
        <v>20</v>
      </c>
      <c r="CG6" t="s">
        <v>20</v>
      </c>
      <c r="CH6" t="s">
        <v>20</v>
      </c>
      <c r="CP6" s="86" t="str">
        <f>IF(ISBLANK(数据源!AW31),"",数据源!AW31)</f>
        <v/>
      </c>
      <c r="CQ6" s="86"/>
      <c r="CR6" s="86" t="str">
        <f>IF(ISBLANK(数据源!AX31),"",数据源!AX31)</f>
        <v/>
      </c>
      <c r="CS6" s="86" t="str">
        <f>IF(ISBLANK(数据源!AV31),"",数据源!AV31)</f>
        <v/>
      </c>
      <c r="CT6" s="86"/>
      <c r="CU6" s="87" t="s">
        <v>168</v>
      </c>
      <c r="CV6" s="86"/>
      <c r="CW6" s="86" t="str">
        <f>IF(ISBLANK(数据源!AU31),"",数据源!AU31)</f>
        <v/>
      </c>
      <c r="CZ6" t="s">
        <v>20</v>
      </c>
      <c r="DA6" s="97">
        <f>IF(数据源!L31&lt;&gt;"QA",0,数据源!O31)</f>
        <v>0</v>
      </c>
      <c r="DB6" s="97">
        <f>数据源!M31</f>
        <v>0</v>
      </c>
      <c r="DC6" s="97">
        <f>数据源!N31</f>
        <v>0</v>
      </c>
      <c r="DD6" s="97">
        <f>IF(数据源!L31&lt;&gt;"QC",0,数据源!O31)</f>
        <v>0</v>
      </c>
      <c r="DG6" t="s">
        <v>20</v>
      </c>
    </row>
    <row r="7" spans="1:111">
      <c r="A7" s="1" t="str">
        <f>IF(数据源!K32="外检","#","")</f>
        <v/>
      </c>
      <c r="B7" s="2" t="str">
        <f>IF(ISBLANK(数据源!B32),"",数据源!B32)</f>
        <v/>
      </c>
      <c r="C7" s="2" t="str">
        <f>IF(ISBLANK(数据源!C32),"",IF(数据源!C32="/",数据源!F32,数据源!C32))</f>
        <v/>
      </c>
      <c r="D7" s="2" t="str">
        <f>IF(LEN(数据源!P32)=0,IF(LEN(数据源!D32)=0,"",数据源!D32),数据源!P32)</f>
        <v/>
      </c>
      <c r="E7" s="2"/>
      <c r="F7" s="2" t="str">
        <f>IF(ISBLANK(数据源!E32),"",数据源!E32)</f>
        <v/>
      </c>
      <c r="G7" s="2" t="str">
        <f>IF(ISBLANK(数据源!G32),"",IF(数据源!G32="A","合格","不合格"))</f>
        <v/>
      </c>
      <c r="H7" s="2" t="str">
        <f>IF(ISBLANK(数据源!H32),"",数据源!H32)</f>
        <v/>
      </c>
      <c r="I7" s="2" t="str">
        <f>IF(ISBLANK(数据源!J32),"",数据源!J32)</f>
        <v/>
      </c>
      <c r="J7" s="2" t="str">
        <f>IF(ISBLANK(数据源!L32),"",数据源!L32)</f>
        <v/>
      </c>
      <c r="K7" s="1" t="str">
        <f>IF(数据源!AD32="外检","#","")</f>
        <v/>
      </c>
      <c r="L7" s="2" t="str">
        <f>IF(ISBLANK(数据源!U32),"",数据源!U32)</f>
        <v/>
      </c>
      <c r="M7" s="2" t="str">
        <f>IF(ISBLANK(数据源!V32),"",IF(数据源!V32="/",数据源!Y32,数据源!V32))</f>
        <v/>
      </c>
      <c r="N7" s="2" t="str">
        <f>IF(LEN(数据源!AI32)=0,IF(LEN(数据源!W32)=0,"",数据源!W32),数据源!AI32)</f>
        <v/>
      </c>
      <c r="O7" s="1"/>
      <c r="P7" s="2" t="str">
        <f>IF(ISBLANK(数据源!X32),"",数据源!X32)</f>
        <v/>
      </c>
      <c r="Q7" s="2" t="str">
        <f>IF(ISBLANK(数据源!Z32),"",IF(数据源!Z32="A","合格","不合格"))</f>
        <v/>
      </c>
      <c r="R7" s="2" t="str">
        <f>IF(ISBLANK(数据源!AA32),"",数据源!AA32)</f>
        <v/>
      </c>
      <c r="S7" s="2" t="str">
        <f>IF(ISBLANK(数据源!AC32),"",数据源!AC32)</f>
        <v/>
      </c>
      <c r="T7" s="2" t="str">
        <f>IF(ISBLANK(数据源!AE32),"",数据源!AE32)</f>
        <v/>
      </c>
      <c r="U7" s="65" t="s">
        <v>132</v>
      </c>
      <c r="V7" s="68" t="str">
        <f>IF(COUNTIF(AF1:AF91,"不合格")+COUNTIF(AP1:AP96,"不合格")=0,"合格","不合格")</f>
        <v>合格</v>
      </c>
      <c r="W7" s="68" t="str">
        <f>IF(COUNTIF(BM1:BM100,"Unqualified")+COUNTIF(CB1:CB91,"Unqualified")=0,"This product has been tested and meets the requirements of Sirio Pharma company standards.","This product has been tested and doesn't meet  the requirements of Sirio Pharma company standards.")</f>
        <v>This product has been tested and meets the requirements of Sirio Pharma company standards.</v>
      </c>
      <c r="X7" s="68"/>
      <c r="Z7" t="s">
        <v>20</v>
      </c>
      <c r="AW7" s="1" t="str">
        <f>IF(数据源!K32="外检","#","")</f>
        <v/>
      </c>
      <c r="AX7" s="2" t="str">
        <f>IF(ISBLANK(数据源!Q32),"",数据源!Q32)</f>
        <v/>
      </c>
      <c r="AY7" s="2" t="str">
        <f>IF(ISBLANK(数据源!R32),"",数据源!R32)</f>
        <v/>
      </c>
      <c r="AZ7" s="2" t="str">
        <f>IF(LEN(数据源!P32)=0,IF(LEN(数据源!D32)=0,"",数据源!D32),数据源!P32)</f>
        <v/>
      </c>
      <c r="BA7" s="2"/>
      <c r="BB7" s="2" t="str">
        <f>IF(ISBLANK(数据源!E32),"",数据源!E32)</f>
        <v/>
      </c>
      <c r="BC7" s="2" t="str">
        <f>IF(ISBLANK(数据源!G32),"",IF(数据源!G32="A","Qualified","Unqualified"))</f>
        <v/>
      </c>
      <c r="BD7" s="2" t="str">
        <f>IF(ISBLANK(数据源!S32),"",数据源!S32)</f>
        <v/>
      </c>
      <c r="BE7" s="2" t="str">
        <f>IF(ISBLANK(数据源!J32),"",数据源!J32)</f>
        <v/>
      </c>
      <c r="BF7" s="2" t="str">
        <f>IF(ISBLANK(数据源!L32),"",数据源!L32)</f>
        <v/>
      </c>
      <c r="BG7" s="1" t="str">
        <f>IF(数据源!AD32="外检","#","")</f>
        <v/>
      </c>
      <c r="BH7" s="2" t="str">
        <f>IF(ISBLANK(数据源!AJ32),"",数据源!AJ32)</f>
        <v/>
      </c>
      <c r="BI7" s="2" t="str">
        <f>IF(ISBLANK(数据源!AK32),"",数据源!AK32)</f>
        <v/>
      </c>
      <c r="BJ7" s="2" t="str">
        <f>IF(LEN(数据源!AI32)=0,IF(LEN(数据源!W32)=0,"",数据源!W32),数据源!AI32)</f>
        <v/>
      </c>
      <c r="BK7" s="1"/>
      <c r="BL7" s="2" t="str">
        <f>IF(ISBLANK(数据源!X32),"",数据源!X32)</f>
        <v/>
      </c>
      <c r="BM7" s="2" t="str">
        <f>IF(ISBLANK(数据源!Z32),"",IF(数据源!Z32="A","Qualified","Unqualified"))</f>
        <v/>
      </c>
      <c r="BN7" s="2" t="str">
        <f>IF(ISBLANK(数据源!AL32),"",数据源!AL32)</f>
        <v/>
      </c>
      <c r="BO7" s="2" t="str">
        <f>IF(ISBLANK(数据源!AC32),"",数据源!AC32)</f>
        <v/>
      </c>
      <c r="BP7" s="2" t="str">
        <f>IF(ISBLANK(数据源!AE32),"",数据源!AE32)</f>
        <v/>
      </c>
      <c r="BV7" t="s">
        <v>20</v>
      </c>
      <c r="BW7" t="s">
        <v>20</v>
      </c>
      <c r="BX7" t="s">
        <v>20</v>
      </c>
      <c r="CF7" t="s">
        <v>20</v>
      </c>
      <c r="CG7" t="s">
        <v>20</v>
      </c>
      <c r="CH7" t="s">
        <v>20</v>
      </c>
      <c r="CP7" s="86" t="str">
        <f>IF(ISBLANK(数据源!AW32),"",数据源!AW32)</f>
        <v/>
      </c>
      <c r="CQ7" s="86"/>
      <c r="CR7" s="86" t="str">
        <f>IF(ISBLANK(数据源!AX32),"",数据源!AX32)</f>
        <v/>
      </c>
      <c r="CS7" s="86" t="str">
        <f>IF(ISBLANK(数据源!AV32),"",数据源!AV32)</f>
        <v/>
      </c>
      <c r="CT7" s="86"/>
      <c r="CU7" s="87" t="s">
        <v>168</v>
      </c>
      <c r="CV7" s="86"/>
      <c r="CW7" s="86" t="str">
        <f>IF(ISBLANK(数据源!AU32),"",数据源!AU32)</f>
        <v/>
      </c>
      <c r="CZ7" t="s">
        <v>20</v>
      </c>
      <c r="DA7" s="97">
        <f>IF(数据源!L32&lt;&gt;"QA",0,数据源!O32)</f>
        <v>0</v>
      </c>
      <c r="DB7" s="97">
        <f>数据源!M32</f>
        <v>0</v>
      </c>
      <c r="DC7" s="97">
        <f>数据源!N32</f>
        <v>0</v>
      </c>
      <c r="DD7" s="97">
        <f>IF(数据源!L32&lt;&gt;"QC",0,数据源!O32)</f>
        <v>0</v>
      </c>
      <c r="DG7" t="s">
        <v>20</v>
      </c>
    </row>
    <row r="8" spans="1:111">
      <c r="A8" s="1" t="str">
        <f>IF(数据源!K33="外检","#","")</f>
        <v/>
      </c>
      <c r="B8" s="2" t="str">
        <f>IF(ISBLANK(数据源!B33),"",数据源!B33)</f>
        <v/>
      </c>
      <c r="C8" s="2" t="str">
        <f>IF(ISBLANK(数据源!C33),"",IF(数据源!C33="/",数据源!F33,数据源!C33))</f>
        <v/>
      </c>
      <c r="D8" s="2" t="str">
        <f>IF(LEN(数据源!P33)=0,IF(LEN(数据源!D33)=0,"",数据源!D33),数据源!P33)</f>
        <v/>
      </c>
      <c r="E8" s="2"/>
      <c r="F8" s="2" t="str">
        <f>IF(ISBLANK(数据源!E33),"",数据源!E33)</f>
        <v/>
      </c>
      <c r="G8" s="2" t="str">
        <f>IF(ISBLANK(数据源!G33),"",IF(数据源!G33="A","合格","不合格"))</f>
        <v/>
      </c>
      <c r="H8" s="2" t="str">
        <f>IF(ISBLANK(数据源!H33),"",数据源!H33)</f>
        <v/>
      </c>
      <c r="I8" s="2" t="str">
        <f>IF(ISBLANK(数据源!J33),"",数据源!J33)</f>
        <v/>
      </c>
      <c r="J8" s="2" t="str">
        <f>IF(ISBLANK(数据源!L33),"",数据源!L33)</f>
        <v/>
      </c>
      <c r="K8" s="1" t="str">
        <f>IF(数据源!AD33="外检","#","")</f>
        <v/>
      </c>
      <c r="L8" s="2" t="str">
        <f>IF(ISBLANK(数据源!U33),"",数据源!U33)</f>
        <v/>
      </c>
      <c r="M8" s="2" t="str">
        <f>IF(ISBLANK(数据源!V33),"",IF(数据源!V33="/",数据源!Y33,数据源!V33))</f>
        <v/>
      </c>
      <c r="N8" s="2" t="str">
        <f>IF(LEN(数据源!AI33)=0,IF(LEN(数据源!W33)=0,"",数据源!W33),数据源!AI33)</f>
        <v/>
      </c>
      <c r="O8" s="1"/>
      <c r="P8" s="2" t="str">
        <f>IF(ISBLANK(数据源!X33),"",数据源!X33)</f>
        <v/>
      </c>
      <c r="Q8" s="2" t="str">
        <f>IF(ISBLANK(数据源!Z33),"",IF(数据源!Z33="A","合格","不合格"))</f>
        <v/>
      </c>
      <c r="R8" s="2" t="str">
        <f>IF(ISBLANK(数据源!AA33),"",数据源!AA33)</f>
        <v/>
      </c>
      <c r="S8" s="2" t="str">
        <f>IF(ISBLANK(数据源!AC33),"",数据源!AC33)</f>
        <v/>
      </c>
      <c r="T8" s="2" t="str">
        <f>IF(ISBLANK(数据源!AE33),"",数据源!AE33)</f>
        <v/>
      </c>
      <c r="U8" s="93"/>
      <c r="V8" s="93"/>
      <c r="W8" s="93"/>
      <c r="X8" s="93"/>
      <c r="Z8" t="s">
        <v>20</v>
      </c>
      <c r="AW8" s="1" t="str">
        <f>IF(数据源!K33="外检","#","")</f>
        <v/>
      </c>
      <c r="AX8" s="2" t="str">
        <f>IF(ISBLANK(数据源!Q33),"",数据源!Q33)</f>
        <v/>
      </c>
      <c r="AY8" s="2" t="str">
        <f>IF(ISBLANK(数据源!R33),"",数据源!R33)</f>
        <v/>
      </c>
      <c r="AZ8" s="2" t="str">
        <f>IF(LEN(数据源!P33)=0,IF(LEN(数据源!D33)=0,"",数据源!D33),数据源!P33)</f>
        <v/>
      </c>
      <c r="BA8" s="2"/>
      <c r="BB8" s="2" t="str">
        <f>IF(ISBLANK(数据源!E33),"",数据源!E33)</f>
        <v/>
      </c>
      <c r="BC8" s="2" t="str">
        <f>IF(ISBLANK(数据源!G33),"",IF(数据源!G33="A","Qualified","Unqualified"))</f>
        <v/>
      </c>
      <c r="BD8" s="2" t="str">
        <f>IF(ISBLANK(数据源!S33),"",数据源!S33)</f>
        <v/>
      </c>
      <c r="BE8" s="2" t="str">
        <f>IF(ISBLANK(数据源!J33),"",数据源!J33)</f>
        <v/>
      </c>
      <c r="BF8" s="2" t="str">
        <f>IF(ISBLANK(数据源!L33),"",数据源!L33)</f>
        <v/>
      </c>
      <c r="BG8" s="1" t="str">
        <f>IF(数据源!AD33="外检","#","")</f>
        <v/>
      </c>
      <c r="BH8" s="2" t="str">
        <f>IF(ISBLANK(数据源!AJ33),"",数据源!AJ33)</f>
        <v/>
      </c>
      <c r="BI8" s="2" t="str">
        <f>IF(ISBLANK(数据源!AK33),"",数据源!AK33)</f>
        <v/>
      </c>
      <c r="BJ8" s="2" t="str">
        <f>IF(LEN(数据源!AI33)=0,IF(LEN(数据源!W33)=0,"",数据源!W33),数据源!AI33)</f>
        <v/>
      </c>
      <c r="BK8" s="1"/>
      <c r="BL8" s="2" t="str">
        <f>IF(ISBLANK(数据源!X33),"",数据源!X33)</f>
        <v/>
      </c>
      <c r="BM8" s="2" t="str">
        <f>IF(ISBLANK(数据源!Z33),"",IF(数据源!Z33="A","Qualified","Unqualified"))</f>
        <v/>
      </c>
      <c r="BN8" s="2" t="str">
        <f>IF(ISBLANK(数据源!AL33),"",数据源!AL33)</f>
        <v/>
      </c>
      <c r="BO8" s="2" t="str">
        <f>IF(ISBLANK(数据源!AC33),"",数据源!AC33)</f>
        <v/>
      </c>
      <c r="BP8" s="2" t="str">
        <f>IF(ISBLANK(数据源!AE33),"",数据源!AE33)</f>
        <v/>
      </c>
      <c r="BV8" t="s">
        <v>20</v>
      </c>
      <c r="BW8" t="s">
        <v>20</v>
      </c>
      <c r="BX8" t="s">
        <v>20</v>
      </c>
      <c r="CF8" t="s">
        <v>20</v>
      </c>
      <c r="CG8" t="s">
        <v>20</v>
      </c>
      <c r="CH8" t="s">
        <v>20</v>
      </c>
      <c r="CP8" s="86" t="str">
        <f>IF(ISBLANK(数据源!AW33),"",数据源!AW33)</f>
        <v/>
      </c>
      <c r="CQ8" s="86"/>
      <c r="CR8" s="86" t="str">
        <f>IF(ISBLANK(数据源!AX33),"",数据源!AX33)</f>
        <v/>
      </c>
      <c r="CS8" s="86" t="str">
        <f>IF(ISBLANK(数据源!AV33),"",数据源!AV33)</f>
        <v/>
      </c>
      <c r="CT8" s="86"/>
      <c r="CU8" s="87" t="s">
        <v>168</v>
      </c>
      <c r="CV8" s="86"/>
      <c r="CW8" s="86" t="str">
        <f>IF(ISBLANK(数据源!AU33),"",数据源!AU33)</f>
        <v/>
      </c>
      <c r="CZ8" t="s">
        <v>20</v>
      </c>
      <c r="DA8" s="97">
        <f>IF(数据源!L33&lt;&gt;"QA",0,数据源!O33)</f>
        <v>0</v>
      </c>
      <c r="DB8" s="97">
        <f>数据源!M33</f>
        <v>0</v>
      </c>
      <c r="DC8" s="97">
        <f>数据源!N33</f>
        <v>0</v>
      </c>
      <c r="DD8" s="97">
        <f>IF(数据源!L33&lt;&gt;"QC",0,数据源!O33)</f>
        <v>0</v>
      </c>
      <c r="DG8" t="s">
        <v>20</v>
      </c>
    </row>
    <row r="9" spans="1:111">
      <c r="A9" s="1" t="str">
        <f>IF(数据源!K34="外检","#","")</f>
        <v/>
      </c>
      <c r="B9" s="2" t="str">
        <f>IF(ISBLANK(数据源!B34),"",数据源!B34)</f>
        <v/>
      </c>
      <c r="C9" s="2" t="str">
        <f>IF(ISBLANK(数据源!C34),"",IF(数据源!C34="/",数据源!F34,数据源!C34))</f>
        <v/>
      </c>
      <c r="D9" s="2" t="str">
        <f>IF(LEN(数据源!P34)=0,IF(LEN(数据源!D34)=0,"",数据源!D34),数据源!P34)</f>
        <v/>
      </c>
      <c r="E9" s="2"/>
      <c r="F9" s="2" t="str">
        <f>IF(ISBLANK(数据源!E34),"",数据源!E34)</f>
        <v/>
      </c>
      <c r="G9" s="2" t="str">
        <f>IF(ISBLANK(数据源!G34),"",IF(数据源!G34="A","合格","不合格"))</f>
        <v/>
      </c>
      <c r="H9" s="2" t="str">
        <f>IF(ISBLANK(数据源!H34),"",数据源!H34)</f>
        <v/>
      </c>
      <c r="I9" s="2" t="str">
        <f>IF(ISBLANK(数据源!J34),"",数据源!J34)</f>
        <v/>
      </c>
      <c r="J9" s="2" t="str">
        <f>IF(ISBLANK(数据源!L34),"",数据源!L34)</f>
        <v/>
      </c>
      <c r="K9" s="1" t="str">
        <f>IF(数据源!AD34="外检","#","")</f>
        <v/>
      </c>
      <c r="L9" s="2" t="str">
        <f>IF(ISBLANK(数据源!U34),"",数据源!U34)</f>
        <v/>
      </c>
      <c r="M9" s="2" t="str">
        <f>IF(ISBLANK(数据源!V34),"",IF(数据源!V34="/",数据源!Y34,数据源!V34))</f>
        <v/>
      </c>
      <c r="N9" s="2" t="str">
        <f>IF(LEN(数据源!AI34)=0,IF(LEN(数据源!W34)=0,"",数据源!W34),数据源!AI34)</f>
        <v/>
      </c>
      <c r="O9" s="1"/>
      <c r="P9" s="2" t="str">
        <f>IF(ISBLANK(数据源!X34),"",数据源!X34)</f>
        <v/>
      </c>
      <c r="Q9" s="2" t="str">
        <f>IF(ISBLANK(数据源!Z34),"",IF(数据源!Z34="A","合格","不合格"))</f>
        <v/>
      </c>
      <c r="R9" s="2" t="str">
        <f>IF(ISBLANK(数据源!AA34),"",数据源!AA34)</f>
        <v/>
      </c>
      <c r="S9" s="2" t="str">
        <f>IF(ISBLANK(数据源!AC34),"",数据源!AC34)</f>
        <v/>
      </c>
      <c r="T9" s="2" t="str">
        <f>IF(ISBLANK(数据源!AE34),"",数据源!AE34)</f>
        <v/>
      </c>
      <c r="U9" s="65" t="s">
        <v>178</v>
      </c>
      <c r="V9" s="93"/>
      <c r="W9" s="93"/>
      <c r="X9" s="93"/>
      <c r="Z9" t="s">
        <v>20</v>
      </c>
      <c r="AW9" s="1" t="str">
        <f>IF(数据源!K34="外检","#","")</f>
        <v/>
      </c>
      <c r="AX9" s="2" t="str">
        <f>IF(ISBLANK(数据源!Q34),"",数据源!Q34)</f>
        <v/>
      </c>
      <c r="AY9" s="2" t="str">
        <f>IF(ISBLANK(数据源!R34),"",数据源!R34)</f>
        <v/>
      </c>
      <c r="AZ9" s="2" t="str">
        <f>IF(LEN(数据源!P34)=0,IF(LEN(数据源!D34)=0,"",数据源!D34),数据源!P34)</f>
        <v/>
      </c>
      <c r="BA9" s="2"/>
      <c r="BB9" s="2" t="str">
        <f>IF(ISBLANK(数据源!E34),"",数据源!E34)</f>
        <v/>
      </c>
      <c r="BC9" s="2" t="str">
        <f>IF(ISBLANK(数据源!G34),"",IF(数据源!G34="A","Qualified","Unqualified"))</f>
        <v/>
      </c>
      <c r="BD9" s="2" t="str">
        <f>IF(ISBLANK(数据源!S34),"",数据源!S34)</f>
        <v/>
      </c>
      <c r="BE9" s="2" t="str">
        <f>IF(ISBLANK(数据源!J34),"",数据源!J34)</f>
        <v/>
      </c>
      <c r="BF9" s="2" t="str">
        <f>IF(ISBLANK(数据源!L34),"",数据源!L34)</f>
        <v/>
      </c>
      <c r="BG9" s="1" t="str">
        <f>IF(数据源!AD34="外检","#","")</f>
        <v/>
      </c>
      <c r="BH9" s="2" t="str">
        <f>IF(ISBLANK(数据源!AJ34),"",数据源!AJ34)</f>
        <v/>
      </c>
      <c r="BI9" s="2" t="str">
        <f>IF(ISBLANK(数据源!AK34),"",数据源!AK34)</f>
        <v/>
      </c>
      <c r="BJ9" s="2" t="str">
        <f>IF(LEN(数据源!AI34)=0,IF(LEN(数据源!W34)=0,"",数据源!W34),数据源!AI34)</f>
        <v/>
      </c>
      <c r="BK9" s="1"/>
      <c r="BL9" s="2" t="str">
        <f>IF(ISBLANK(数据源!X34),"",数据源!X34)</f>
        <v/>
      </c>
      <c r="BM9" s="2" t="str">
        <f>IF(ISBLANK(数据源!Z34),"",IF(数据源!Z34="A","Qualified","Unqualified"))</f>
        <v/>
      </c>
      <c r="BN9" s="2" t="str">
        <f>IF(ISBLANK(数据源!AL34),"",数据源!AL34)</f>
        <v/>
      </c>
      <c r="BO9" s="2" t="str">
        <f>IF(ISBLANK(数据源!AC34),"",数据源!AC34)</f>
        <v/>
      </c>
      <c r="BP9" s="2" t="str">
        <f>IF(ISBLANK(数据源!AE34),"",数据源!AE34)</f>
        <v/>
      </c>
      <c r="BV9" t="s">
        <v>20</v>
      </c>
      <c r="BW9" t="s">
        <v>20</v>
      </c>
      <c r="BX9" t="s">
        <v>20</v>
      </c>
      <c r="CF9" t="s">
        <v>20</v>
      </c>
      <c r="CG9" t="s">
        <v>20</v>
      </c>
      <c r="CH9" t="s">
        <v>20</v>
      </c>
      <c r="CP9" s="86" t="str">
        <f>IF(ISBLANK(数据源!AW34),"",数据源!AW34)</f>
        <v/>
      </c>
      <c r="CQ9" s="86"/>
      <c r="CR9" s="86" t="str">
        <f>IF(ISBLANK(数据源!AX34),"",数据源!AX34)</f>
        <v/>
      </c>
      <c r="CS9" s="86" t="str">
        <f>IF(ISBLANK(数据源!AV34),"",数据源!AV34)</f>
        <v/>
      </c>
      <c r="CT9" s="86"/>
      <c r="CU9" s="87" t="s">
        <v>168</v>
      </c>
      <c r="CV9" s="86"/>
      <c r="CW9" s="86" t="str">
        <f>IF(ISBLANK(数据源!AU34),"",数据源!AU34)</f>
        <v/>
      </c>
      <c r="CZ9" t="s">
        <v>20</v>
      </c>
      <c r="DA9" s="97">
        <f>IF(数据源!L34&lt;&gt;"QA",0,数据源!O34)</f>
        <v>0</v>
      </c>
      <c r="DB9" s="97">
        <f>数据源!M34</f>
        <v>0</v>
      </c>
      <c r="DC9" s="97">
        <f>数据源!N34</f>
        <v>0</v>
      </c>
      <c r="DD9" s="97">
        <f>IF(数据源!L34&lt;&gt;"QC",0,数据源!O34)</f>
        <v>0</v>
      </c>
      <c r="DG9" t="s">
        <v>20</v>
      </c>
    </row>
    <row r="10" spans="1:111">
      <c r="A10" s="1" t="str">
        <f>IF(数据源!K35="外检","#","")</f>
        <v/>
      </c>
      <c r="B10" s="2" t="str">
        <f>IF(ISBLANK(数据源!B35),"",数据源!B35)</f>
        <v/>
      </c>
      <c r="C10" s="2" t="str">
        <f>IF(ISBLANK(数据源!C35),"",IF(数据源!C35="/",数据源!F35,数据源!C35))</f>
        <v/>
      </c>
      <c r="D10" s="2" t="str">
        <f>IF(LEN(数据源!P35)=0,IF(LEN(数据源!D35)=0,"",数据源!D35),数据源!P35)</f>
        <v/>
      </c>
      <c r="E10" s="2"/>
      <c r="F10" s="2" t="str">
        <f>IF(ISBLANK(数据源!E35),"",数据源!E35)</f>
        <v/>
      </c>
      <c r="G10" s="2" t="str">
        <f>IF(ISBLANK(数据源!G35),"",IF(数据源!G35="A","合格","不合格"))</f>
        <v/>
      </c>
      <c r="H10" s="2" t="str">
        <f>IF(ISBLANK(数据源!H35),"",数据源!H35)</f>
        <v/>
      </c>
      <c r="I10" s="2" t="str">
        <f>IF(ISBLANK(数据源!J35),"",数据源!J35)</f>
        <v/>
      </c>
      <c r="J10" s="2" t="str">
        <f>IF(ISBLANK(数据源!L35),"",数据源!L35)</f>
        <v/>
      </c>
      <c r="K10" s="1" t="str">
        <f>IF(数据源!AD35="外检","#","")</f>
        <v/>
      </c>
      <c r="L10" s="2" t="str">
        <f>IF(ISBLANK(数据源!U35),"",数据源!U35)</f>
        <v/>
      </c>
      <c r="M10" s="2" t="str">
        <f>IF(ISBLANK(数据源!V35),"",IF(数据源!V35="/",数据源!Y35,数据源!V35))</f>
        <v/>
      </c>
      <c r="N10" s="2" t="str">
        <f>IF(LEN(数据源!AI35)=0,IF(LEN(数据源!W35)=0,"",数据源!W35),数据源!AI35)</f>
        <v/>
      </c>
      <c r="O10" s="1"/>
      <c r="P10" s="2" t="str">
        <f>IF(ISBLANK(数据源!X35),"",数据源!X35)</f>
        <v/>
      </c>
      <c r="Q10" s="2" t="str">
        <f>IF(ISBLANK(数据源!Z35),"",IF(数据源!Z35="A","合格","不合格"))</f>
        <v/>
      </c>
      <c r="R10" s="2" t="str">
        <f>IF(ISBLANK(数据源!AA35),"",数据源!AA35)</f>
        <v/>
      </c>
      <c r="S10" s="2" t="str">
        <f>IF(ISBLANK(数据源!AC35),"",数据源!AC35)</f>
        <v/>
      </c>
      <c r="T10" s="2" t="str">
        <f>IF(ISBLANK(数据源!AE35),"",数据源!AE35)</f>
        <v/>
      </c>
      <c r="U10" s="62" t="s">
        <v>56</v>
      </c>
      <c r="V10" s="67" t="e">
        <f>LEFT(W10,4)&amp;"/"&amp;MID(W10,5,2)&amp;"/"&amp;MID(W10,7,2)</f>
        <v>#N/A</v>
      </c>
      <c r="W10" s="63" t="e">
        <f>LEFT(X10,8)</f>
        <v>#N/A</v>
      </c>
      <c r="X10" s="67" t="e">
        <f>INDEX(数据源!AH26:AH126,V11)</f>
        <v>#N/A</v>
      </c>
      <c r="Z10" t="s">
        <v>20</v>
      </c>
      <c r="AW10" s="1" t="str">
        <f>IF(数据源!K35="外检","#","")</f>
        <v/>
      </c>
      <c r="AX10" s="2" t="str">
        <f>IF(ISBLANK(数据源!Q35),"",数据源!Q35)</f>
        <v/>
      </c>
      <c r="AY10" s="2" t="str">
        <f>IF(ISBLANK(数据源!R35),"",数据源!R35)</f>
        <v/>
      </c>
      <c r="AZ10" s="2" t="str">
        <f>IF(LEN(数据源!P35)=0,IF(LEN(数据源!D35)=0,"",数据源!D35),数据源!P35)</f>
        <v/>
      </c>
      <c r="BA10" s="2"/>
      <c r="BB10" s="2" t="str">
        <f>IF(ISBLANK(数据源!E35),"",数据源!E35)</f>
        <v/>
      </c>
      <c r="BC10" s="2" t="str">
        <f>IF(ISBLANK(数据源!G35),"",IF(数据源!G35="A","Qualified","Unqualified"))</f>
        <v/>
      </c>
      <c r="BD10" s="2" t="str">
        <f>IF(ISBLANK(数据源!S35),"",数据源!S35)</f>
        <v/>
      </c>
      <c r="BE10" s="2" t="str">
        <f>IF(ISBLANK(数据源!J35),"",数据源!J35)</f>
        <v/>
      </c>
      <c r="BF10" s="2" t="str">
        <f>IF(ISBLANK(数据源!L35),"",数据源!L35)</f>
        <v/>
      </c>
      <c r="BG10" s="1" t="str">
        <f>IF(数据源!AD35="外检","#","")</f>
        <v/>
      </c>
      <c r="BH10" s="2" t="str">
        <f>IF(ISBLANK(数据源!AJ35),"",数据源!AJ35)</f>
        <v/>
      </c>
      <c r="BI10" s="2" t="str">
        <f>IF(ISBLANK(数据源!AK35),"",数据源!AK35)</f>
        <v/>
      </c>
      <c r="BJ10" s="2" t="str">
        <f>IF(LEN(数据源!AI35)=0,IF(LEN(数据源!W35)=0,"",数据源!W35),数据源!AI35)</f>
        <v/>
      </c>
      <c r="BK10" s="1"/>
      <c r="BL10" s="2" t="str">
        <f>IF(ISBLANK(数据源!X35),"",数据源!X35)</f>
        <v/>
      </c>
      <c r="BM10" s="2" t="str">
        <f>IF(ISBLANK(数据源!Z35),"",IF(数据源!Z35="A","Qualified","Unqualified"))</f>
        <v/>
      </c>
      <c r="BN10" s="2" t="str">
        <f>IF(ISBLANK(数据源!AL35),"",数据源!AL35)</f>
        <v/>
      </c>
      <c r="BO10" s="2" t="str">
        <f>IF(ISBLANK(数据源!AC35),"",数据源!AC35)</f>
        <v/>
      </c>
      <c r="BP10" s="2" t="str">
        <f>IF(ISBLANK(数据源!AE35),"",数据源!AE35)</f>
        <v/>
      </c>
      <c r="BV10" t="s">
        <v>20</v>
      </c>
      <c r="BW10" t="s">
        <v>20</v>
      </c>
      <c r="BX10" t="s">
        <v>20</v>
      </c>
      <c r="CF10" t="s">
        <v>20</v>
      </c>
      <c r="CG10" t="s">
        <v>20</v>
      </c>
      <c r="CH10" t="s">
        <v>20</v>
      </c>
      <c r="CP10" s="86" t="str">
        <f>IF(ISBLANK(数据源!AW35),"",数据源!AW35)</f>
        <v/>
      </c>
      <c r="CQ10" s="86"/>
      <c r="CR10" s="86" t="str">
        <f>IF(ISBLANK(数据源!AX35),"",数据源!AX35)</f>
        <v/>
      </c>
      <c r="CS10" s="86" t="str">
        <f>IF(ISBLANK(数据源!AV35),"",数据源!AV35)</f>
        <v/>
      </c>
      <c r="CT10" s="86"/>
      <c r="CU10" s="87" t="s">
        <v>168</v>
      </c>
      <c r="CV10" s="86"/>
      <c r="CW10" s="86" t="str">
        <f>IF(ISBLANK(数据源!AU35),"",数据源!AU35)</f>
        <v/>
      </c>
      <c r="CZ10" t="s">
        <v>20</v>
      </c>
      <c r="DA10" s="97">
        <f>IF(数据源!L35&lt;&gt;"QA",0,数据源!O35)</f>
        <v>0</v>
      </c>
      <c r="DB10" s="97">
        <f>数据源!M35</f>
        <v>0</v>
      </c>
      <c r="DC10" s="97">
        <f>数据源!N35</f>
        <v>0</v>
      </c>
      <c r="DD10" s="97">
        <f>IF(数据源!L35&lt;&gt;"QC",0,数据源!O35)</f>
        <v>0</v>
      </c>
      <c r="DG10" t="s">
        <v>20</v>
      </c>
    </row>
    <row r="11" spans="1:111" ht="14.25">
      <c r="A11" s="1" t="str">
        <f>IF(数据源!K36="外检","#","")</f>
        <v/>
      </c>
      <c r="B11" s="2" t="str">
        <f>IF(ISBLANK(数据源!B36),"",数据源!B36)</f>
        <v/>
      </c>
      <c r="C11" s="2" t="str">
        <f>IF(ISBLANK(数据源!C36),"",IF(数据源!C36="/",数据源!F36,数据源!C36))</f>
        <v/>
      </c>
      <c r="D11" s="2" t="str">
        <f>IF(LEN(数据源!P36)=0,IF(LEN(数据源!D36)=0,"",数据源!D36),数据源!P36)</f>
        <v/>
      </c>
      <c r="E11" s="2"/>
      <c r="F11" s="2" t="str">
        <f>IF(ISBLANK(数据源!E36),"",数据源!E36)</f>
        <v/>
      </c>
      <c r="G11" s="2" t="str">
        <f>IF(ISBLANK(数据源!G36),"",IF(数据源!G36="A","合格","不合格"))</f>
        <v/>
      </c>
      <c r="H11" s="2" t="str">
        <f>IF(ISBLANK(数据源!H36),"",数据源!H36)</f>
        <v/>
      </c>
      <c r="I11" s="2" t="str">
        <f>IF(ISBLANK(数据源!J36),"",数据源!J36)</f>
        <v/>
      </c>
      <c r="J11" s="2" t="str">
        <f>IF(ISBLANK(数据源!L36),"",数据源!L36)</f>
        <v/>
      </c>
      <c r="K11" s="1" t="str">
        <f>IF(数据源!AD36="外检","#","")</f>
        <v/>
      </c>
      <c r="L11" s="2" t="str">
        <f>IF(ISBLANK(数据源!U36),"",数据源!U36)</f>
        <v/>
      </c>
      <c r="M11" s="2" t="str">
        <f>IF(ISBLANK(数据源!V36),"",IF(数据源!V36="/",数据源!Y36,数据源!V36))</f>
        <v/>
      </c>
      <c r="N11" s="2" t="str">
        <f>IF(LEN(数据源!AI36)=0,IF(LEN(数据源!W36)=0,"",数据源!W36),数据源!AI36)</f>
        <v/>
      </c>
      <c r="O11" s="1"/>
      <c r="P11" s="2" t="str">
        <f>IF(ISBLANK(数据源!X36),"",数据源!X36)</f>
        <v/>
      </c>
      <c r="Q11" s="2" t="str">
        <f>IF(ISBLANK(数据源!Z36),"",IF(数据源!Z36="A","合格","不合格"))</f>
        <v/>
      </c>
      <c r="R11" s="2" t="str">
        <f>IF(ISBLANK(数据源!AA36),"",数据源!AA36)</f>
        <v/>
      </c>
      <c r="S11" s="2" t="str">
        <f>IF(ISBLANK(数据源!AC36),"",数据源!AC36)</f>
        <v/>
      </c>
      <c r="T11" s="2" t="str">
        <f>IF(ISBLANK(数据源!AE36),"",数据源!AE36)</f>
        <v/>
      </c>
      <c r="U11" s="62" t="s">
        <v>57</v>
      </c>
      <c r="V11" s="67" t="e">
        <f>MATCH(MAX(数据源!AH26:AH126),数据源!AH26:AH126,0)</f>
        <v>#N/A</v>
      </c>
      <c r="W11" s="64"/>
      <c r="X11" s="66"/>
      <c r="Y11" s="84"/>
      <c r="Z11" t="s">
        <v>20</v>
      </c>
      <c r="AW11" s="1" t="str">
        <f>IF(数据源!K36="外检","#","")</f>
        <v/>
      </c>
      <c r="AX11" s="2" t="str">
        <f>IF(ISBLANK(数据源!Q36),"",数据源!Q36)</f>
        <v/>
      </c>
      <c r="AY11" s="2" t="str">
        <f>IF(ISBLANK(数据源!R36),"",数据源!R36)</f>
        <v/>
      </c>
      <c r="AZ11" s="2" t="str">
        <f>IF(LEN(数据源!P36)=0,IF(LEN(数据源!D36)=0,"",数据源!D36),数据源!P36)</f>
        <v/>
      </c>
      <c r="BA11" s="2"/>
      <c r="BB11" s="2" t="str">
        <f>IF(ISBLANK(数据源!E36),"",数据源!E36)</f>
        <v/>
      </c>
      <c r="BC11" s="2" t="str">
        <f>IF(ISBLANK(数据源!G36),"",IF(数据源!G36="A","Qualified","Unqualified"))</f>
        <v/>
      </c>
      <c r="BD11" s="2" t="str">
        <f>IF(ISBLANK(数据源!S36),"",数据源!S36)</f>
        <v/>
      </c>
      <c r="BE11" s="2" t="str">
        <f>IF(ISBLANK(数据源!J36),"",数据源!J36)</f>
        <v/>
      </c>
      <c r="BF11" s="2" t="str">
        <f>IF(ISBLANK(数据源!L36),"",数据源!L36)</f>
        <v/>
      </c>
      <c r="BG11" s="1" t="str">
        <f>IF(数据源!AD36="外检","#","")</f>
        <v/>
      </c>
      <c r="BH11" s="2" t="str">
        <f>IF(ISBLANK(数据源!AJ36),"",数据源!AJ36)</f>
        <v/>
      </c>
      <c r="BI11" s="2" t="str">
        <f>IF(ISBLANK(数据源!AK36),"",数据源!AK36)</f>
        <v/>
      </c>
      <c r="BJ11" s="2" t="str">
        <f>IF(LEN(数据源!AI36)=0,IF(LEN(数据源!W36)=0,"",数据源!W36),数据源!AI36)</f>
        <v/>
      </c>
      <c r="BK11" s="1"/>
      <c r="BL11" s="2" t="str">
        <f>IF(ISBLANK(数据源!X36),"",数据源!X36)</f>
        <v/>
      </c>
      <c r="BM11" s="2" t="str">
        <f>IF(ISBLANK(数据源!Z36),"",IF(数据源!Z36="A","Qualified","Unqualified"))</f>
        <v/>
      </c>
      <c r="BN11" s="2" t="str">
        <f>IF(ISBLANK(数据源!AL36),"",数据源!AL36)</f>
        <v/>
      </c>
      <c r="BO11" s="2" t="str">
        <f>IF(ISBLANK(数据源!AC36),"",数据源!AC36)</f>
        <v/>
      </c>
      <c r="BP11" s="2" t="str">
        <f>IF(ISBLANK(数据源!AE36),"",数据源!AE36)</f>
        <v/>
      </c>
      <c r="BV11" t="s">
        <v>20</v>
      </c>
      <c r="BW11" t="s">
        <v>20</v>
      </c>
      <c r="BX11" t="s">
        <v>20</v>
      </c>
      <c r="CF11" t="s">
        <v>20</v>
      </c>
      <c r="CG11" t="s">
        <v>20</v>
      </c>
      <c r="CH11" t="s">
        <v>20</v>
      </c>
      <c r="CP11" s="86" t="str">
        <f>IF(ISBLANK(数据源!AW36),"",数据源!AW36)</f>
        <v/>
      </c>
      <c r="CQ11" s="86"/>
      <c r="CR11" s="86" t="str">
        <f>IF(ISBLANK(数据源!AX36),"",数据源!AX36)</f>
        <v/>
      </c>
      <c r="CS11" s="86" t="str">
        <f>IF(ISBLANK(数据源!AV36),"",数据源!AV36)</f>
        <v/>
      </c>
      <c r="CT11" s="86"/>
      <c r="CU11" s="87" t="s">
        <v>168</v>
      </c>
      <c r="CV11" s="86"/>
      <c r="CW11" s="86" t="str">
        <f>IF(ISBLANK(数据源!AU36),"",数据源!AU36)</f>
        <v/>
      </c>
      <c r="CZ11" t="s">
        <v>20</v>
      </c>
      <c r="DA11" s="97">
        <f>IF(数据源!L36&lt;&gt;"QA",0,数据源!O36)</f>
        <v>0</v>
      </c>
      <c r="DB11" s="97">
        <f>数据源!M36</f>
        <v>0</v>
      </c>
      <c r="DC11" s="97">
        <f>数据源!N36</f>
        <v>0</v>
      </c>
      <c r="DD11" s="97">
        <f>IF(数据源!L36&lt;&gt;"QC",0,数据源!O36)</f>
        <v>0</v>
      </c>
      <c r="DG11" t="s">
        <v>20</v>
      </c>
    </row>
    <row r="12" spans="1:111">
      <c r="A12" s="1" t="str">
        <f>IF(数据源!K37="外检","#","")</f>
        <v/>
      </c>
      <c r="B12" s="2" t="str">
        <f>IF(ISBLANK(数据源!B37),"",数据源!B37)</f>
        <v/>
      </c>
      <c r="C12" s="2" t="str">
        <f>IF(ISBLANK(数据源!C37),"",IF(数据源!C37="/",数据源!F37,数据源!C37))</f>
        <v/>
      </c>
      <c r="D12" s="2" t="str">
        <f>IF(LEN(数据源!P37)=0,IF(LEN(数据源!D37)=0,"",数据源!D37),数据源!P37)</f>
        <v/>
      </c>
      <c r="E12" s="2"/>
      <c r="F12" s="2" t="str">
        <f>IF(ISBLANK(数据源!E37),"",数据源!E37)</f>
        <v/>
      </c>
      <c r="G12" s="2" t="str">
        <f>IF(ISBLANK(数据源!G37),"",IF(数据源!G37="A","合格","不合格"))</f>
        <v/>
      </c>
      <c r="H12" s="2" t="str">
        <f>IF(ISBLANK(数据源!H37),"",数据源!H37)</f>
        <v/>
      </c>
      <c r="I12" s="2" t="str">
        <f>IF(ISBLANK(数据源!J37),"",数据源!J37)</f>
        <v/>
      </c>
      <c r="J12" s="2" t="str">
        <f>IF(ISBLANK(数据源!L37),"",数据源!L37)</f>
        <v/>
      </c>
      <c r="K12" s="1" t="str">
        <f>IF(数据源!AD37="外检","#","")</f>
        <v/>
      </c>
      <c r="L12" s="2" t="str">
        <f>IF(ISBLANK(数据源!U37),"",数据源!U37)</f>
        <v/>
      </c>
      <c r="M12" s="2" t="str">
        <f>IF(ISBLANK(数据源!V37),"",IF(数据源!V37="/",数据源!Y37,数据源!V37))</f>
        <v/>
      </c>
      <c r="N12" s="2" t="str">
        <f>IF(LEN(数据源!AI37)=0,IF(LEN(数据源!W37)=0,"",数据源!W37),数据源!AI37)</f>
        <v/>
      </c>
      <c r="O12" s="1"/>
      <c r="P12" s="2" t="str">
        <f>IF(ISBLANK(数据源!X37),"",数据源!X37)</f>
        <v/>
      </c>
      <c r="Q12" s="2" t="str">
        <f>IF(ISBLANK(数据源!Z37),"",IF(数据源!Z37="A","合格","不合格"))</f>
        <v/>
      </c>
      <c r="R12" s="2" t="str">
        <f>IF(ISBLANK(数据源!AA37),"",数据源!AA37)</f>
        <v/>
      </c>
      <c r="S12" s="2" t="str">
        <f>IF(ISBLANK(数据源!AC37),"",数据源!AC37)</f>
        <v/>
      </c>
      <c r="T12" s="2" t="str">
        <f>IF(ISBLANK(数据源!AE37),"",数据源!AE37)</f>
        <v/>
      </c>
      <c r="U12" s="62" t="s">
        <v>58</v>
      </c>
      <c r="V12" s="62" t="e">
        <f>INDEX(数据源!AF26:AF126,V11)</f>
        <v>#N/A</v>
      </c>
      <c r="W12" s="64" t="s">
        <v>20</v>
      </c>
      <c r="X12" s="66"/>
      <c r="Z12" t="s">
        <v>20</v>
      </c>
      <c r="AW12" s="1" t="str">
        <f>IF(数据源!K37="外检","#","")</f>
        <v/>
      </c>
      <c r="AX12" s="2" t="str">
        <f>IF(ISBLANK(数据源!Q37),"",数据源!Q37)</f>
        <v/>
      </c>
      <c r="AY12" s="2" t="str">
        <f>IF(ISBLANK(数据源!R37),"",数据源!R37)</f>
        <v/>
      </c>
      <c r="AZ12" s="2" t="str">
        <f>IF(LEN(数据源!P37)=0,IF(LEN(数据源!D37)=0,"",数据源!D37),数据源!P37)</f>
        <v/>
      </c>
      <c r="BA12" s="2"/>
      <c r="BB12" s="2" t="str">
        <f>IF(ISBLANK(数据源!E37),"",数据源!E37)</f>
        <v/>
      </c>
      <c r="BC12" s="2" t="str">
        <f>IF(ISBLANK(数据源!G37),"",IF(数据源!G37="A","Qualified","Unqualified"))</f>
        <v/>
      </c>
      <c r="BD12" s="2" t="str">
        <f>IF(ISBLANK(数据源!S37),"",数据源!S37)</f>
        <v/>
      </c>
      <c r="BE12" s="2" t="str">
        <f>IF(ISBLANK(数据源!J37),"",数据源!J37)</f>
        <v/>
      </c>
      <c r="BF12" s="2" t="str">
        <f>IF(ISBLANK(数据源!L37),"",数据源!L37)</f>
        <v/>
      </c>
      <c r="BG12" s="1" t="str">
        <f>IF(数据源!AD37="外检","#","")</f>
        <v/>
      </c>
      <c r="BH12" s="2" t="str">
        <f>IF(ISBLANK(数据源!AJ37),"",数据源!AJ37)</f>
        <v/>
      </c>
      <c r="BI12" s="2" t="str">
        <f>IF(ISBLANK(数据源!AK37),"",数据源!AK37)</f>
        <v/>
      </c>
      <c r="BJ12" s="2" t="str">
        <f>IF(LEN(数据源!AI37)=0,IF(LEN(数据源!W37)=0,"",数据源!W37),数据源!AI37)</f>
        <v/>
      </c>
      <c r="BK12" s="1"/>
      <c r="BL12" s="2" t="str">
        <f>IF(ISBLANK(数据源!X37),"",数据源!X37)</f>
        <v/>
      </c>
      <c r="BM12" s="2" t="str">
        <f>IF(ISBLANK(数据源!Z37),"",IF(数据源!Z37="A","Qualified","Unqualified"))</f>
        <v/>
      </c>
      <c r="BN12" s="2" t="str">
        <f>IF(ISBLANK(数据源!AL37),"",数据源!AL37)</f>
        <v/>
      </c>
      <c r="BO12" s="2" t="str">
        <f>IF(ISBLANK(数据源!AC37),"",数据源!AC37)</f>
        <v/>
      </c>
      <c r="BP12" s="2" t="str">
        <f>IF(ISBLANK(数据源!AE37),"",数据源!AE37)</f>
        <v/>
      </c>
      <c r="BV12" t="s">
        <v>20</v>
      </c>
      <c r="BW12" t="s">
        <v>20</v>
      </c>
      <c r="BX12" t="s">
        <v>20</v>
      </c>
      <c r="CF12" t="s">
        <v>20</v>
      </c>
      <c r="CG12" t="s">
        <v>20</v>
      </c>
      <c r="CH12" t="s">
        <v>20</v>
      </c>
      <c r="CP12" s="86" t="str">
        <f>IF(ISBLANK(数据源!AW37),"",数据源!AW37)</f>
        <v/>
      </c>
      <c r="CQ12" s="86"/>
      <c r="CR12" s="86" t="str">
        <f>IF(ISBLANK(数据源!AX37),"",数据源!AX37)</f>
        <v/>
      </c>
      <c r="CS12" s="86" t="str">
        <f>IF(ISBLANK(数据源!AV37),"",数据源!AV37)</f>
        <v/>
      </c>
      <c r="CT12" s="86"/>
      <c r="CU12" s="87" t="s">
        <v>168</v>
      </c>
      <c r="CV12" s="86"/>
      <c r="CW12" s="86" t="str">
        <f>IF(ISBLANK(数据源!AU37),"",数据源!AU37)</f>
        <v/>
      </c>
      <c r="CZ12" t="s">
        <v>20</v>
      </c>
      <c r="DA12" s="97">
        <f>IF(数据源!L37&lt;&gt;"QA",0,数据源!O37)</f>
        <v>0</v>
      </c>
      <c r="DB12" s="97">
        <f>数据源!M37</f>
        <v>0</v>
      </c>
      <c r="DC12" s="97">
        <f>数据源!N37</f>
        <v>0</v>
      </c>
      <c r="DD12" s="97">
        <f>IF(数据源!L37&lt;&gt;"QC",0,数据源!O37)</f>
        <v>0</v>
      </c>
      <c r="DG12" t="s">
        <v>20</v>
      </c>
    </row>
    <row r="13" spans="1:111">
      <c r="A13" s="1" t="str">
        <f>IF(数据源!K38="外检","#","")</f>
        <v/>
      </c>
      <c r="B13" s="2" t="str">
        <f>IF(ISBLANK(数据源!B38),"",数据源!B38)</f>
        <v/>
      </c>
      <c r="C13" s="2" t="str">
        <f>IF(ISBLANK(数据源!C38),"",IF(数据源!C38="/",数据源!F38,数据源!C38))</f>
        <v/>
      </c>
      <c r="D13" s="2" t="str">
        <f>IF(LEN(数据源!P38)=0,IF(LEN(数据源!D38)=0,"",数据源!D38),数据源!P38)</f>
        <v/>
      </c>
      <c r="E13" s="2"/>
      <c r="F13" s="2" t="str">
        <f>IF(ISBLANK(数据源!E38),"",数据源!E38)</f>
        <v/>
      </c>
      <c r="G13" s="2" t="str">
        <f>IF(ISBLANK(数据源!G38),"",IF(数据源!G38="A","合格","不合格"))</f>
        <v/>
      </c>
      <c r="H13" s="2" t="str">
        <f>IF(ISBLANK(数据源!H38),"",数据源!H38)</f>
        <v/>
      </c>
      <c r="I13" s="2" t="str">
        <f>IF(ISBLANK(数据源!J38),"",数据源!J38)</f>
        <v/>
      </c>
      <c r="J13" s="2" t="str">
        <f>IF(ISBLANK(数据源!L38),"",数据源!L38)</f>
        <v/>
      </c>
      <c r="K13" s="1" t="str">
        <f>IF(数据源!AD38="外检","#","")</f>
        <v/>
      </c>
      <c r="L13" s="2" t="str">
        <f>IF(ISBLANK(数据源!U38),"",数据源!U38)</f>
        <v/>
      </c>
      <c r="M13" s="2" t="str">
        <f>IF(ISBLANK(数据源!V38),"",IF(数据源!V38="/",数据源!Y38,数据源!V38))</f>
        <v/>
      </c>
      <c r="N13" s="2" t="str">
        <f>IF(LEN(数据源!AI38)=0,IF(LEN(数据源!W38)=0,"",数据源!W38),数据源!AI38)</f>
        <v/>
      </c>
      <c r="O13" s="1"/>
      <c r="P13" s="2" t="str">
        <f>IF(ISBLANK(数据源!X38),"",数据源!X38)</f>
        <v/>
      </c>
      <c r="Q13" s="2" t="str">
        <f>IF(ISBLANK(数据源!Z38),"",IF(数据源!Z38="A","合格","不合格"))</f>
        <v/>
      </c>
      <c r="R13" s="2" t="str">
        <f>IF(ISBLANK(数据源!AA38),"",数据源!AA38)</f>
        <v/>
      </c>
      <c r="S13" s="2" t="str">
        <f>IF(ISBLANK(数据源!AC38),"",数据源!AC38)</f>
        <v/>
      </c>
      <c r="T13" s="2" t="str">
        <f>IF(ISBLANK(数据源!AE38),"",数据源!AE38)</f>
        <v/>
      </c>
      <c r="U13" s="62" t="s">
        <v>59</v>
      </c>
      <c r="V13" s="62" t="e">
        <f>INDEX(数据源!AG26:AG126,V11)</f>
        <v>#N/A</v>
      </c>
      <c r="W13" s="64" t="s">
        <v>20</v>
      </c>
      <c r="X13" s="66"/>
      <c r="Z13" t="s">
        <v>20</v>
      </c>
      <c r="AW13" s="1" t="str">
        <f>IF(数据源!K38="外检","#","")</f>
        <v/>
      </c>
      <c r="AX13" s="2" t="str">
        <f>IF(ISBLANK(数据源!Q38),"",数据源!Q38)</f>
        <v/>
      </c>
      <c r="AY13" s="2" t="str">
        <f>IF(ISBLANK(数据源!R38),"",数据源!R38)</f>
        <v/>
      </c>
      <c r="AZ13" s="2" t="str">
        <f>IF(LEN(数据源!P38)=0,IF(LEN(数据源!D38)=0,"",数据源!D38),数据源!P38)</f>
        <v/>
      </c>
      <c r="BA13" s="2"/>
      <c r="BB13" s="2" t="str">
        <f>IF(ISBLANK(数据源!E38),"",数据源!E38)</f>
        <v/>
      </c>
      <c r="BC13" s="2" t="str">
        <f>IF(ISBLANK(数据源!G38),"",IF(数据源!G38="A","Qualified","Unqualified"))</f>
        <v/>
      </c>
      <c r="BD13" s="2" t="str">
        <f>IF(ISBLANK(数据源!S38),"",数据源!S38)</f>
        <v/>
      </c>
      <c r="BE13" s="2" t="str">
        <f>IF(ISBLANK(数据源!J38),"",数据源!J38)</f>
        <v/>
      </c>
      <c r="BF13" s="2" t="str">
        <f>IF(ISBLANK(数据源!L38),"",数据源!L38)</f>
        <v/>
      </c>
      <c r="BG13" s="1" t="str">
        <f>IF(数据源!AD38="外检","#","")</f>
        <v/>
      </c>
      <c r="BH13" s="2" t="str">
        <f>IF(ISBLANK(数据源!AJ38),"",数据源!AJ38)</f>
        <v/>
      </c>
      <c r="BI13" s="2" t="str">
        <f>IF(ISBLANK(数据源!AK38),"",数据源!AK38)</f>
        <v/>
      </c>
      <c r="BJ13" s="2" t="str">
        <f>IF(LEN(数据源!AI38)=0,IF(LEN(数据源!W38)=0,"",数据源!W38),数据源!AI38)</f>
        <v/>
      </c>
      <c r="BK13" s="1"/>
      <c r="BL13" s="2" t="str">
        <f>IF(ISBLANK(数据源!X38),"",数据源!X38)</f>
        <v/>
      </c>
      <c r="BM13" s="2" t="str">
        <f>IF(ISBLANK(数据源!Z38),"",IF(数据源!Z38="A","Qualified","Unqualified"))</f>
        <v/>
      </c>
      <c r="BN13" s="2" t="str">
        <f>IF(ISBLANK(数据源!AL38),"",数据源!AL38)</f>
        <v/>
      </c>
      <c r="BO13" s="2" t="str">
        <f>IF(ISBLANK(数据源!AC38),"",数据源!AC38)</f>
        <v/>
      </c>
      <c r="BP13" s="2" t="str">
        <f>IF(ISBLANK(数据源!AE38),"",数据源!AE38)</f>
        <v/>
      </c>
      <c r="BV13" t="s">
        <v>20</v>
      </c>
      <c r="BW13" t="s">
        <v>20</v>
      </c>
      <c r="BX13" t="s">
        <v>20</v>
      </c>
      <c r="CF13" t="s">
        <v>20</v>
      </c>
      <c r="CG13" t="s">
        <v>20</v>
      </c>
      <c r="CH13" t="s">
        <v>20</v>
      </c>
      <c r="CP13" s="86" t="str">
        <f>IF(ISBLANK(数据源!AW38),"",数据源!AW38)</f>
        <v/>
      </c>
      <c r="CQ13" s="86"/>
      <c r="CR13" s="86" t="str">
        <f>IF(ISBLANK(数据源!AX38),"",数据源!AX38)</f>
        <v/>
      </c>
      <c r="CS13" s="86" t="str">
        <f>IF(ISBLANK(数据源!AV38),"",数据源!AV38)</f>
        <v/>
      </c>
      <c r="CT13" s="86"/>
      <c r="CU13" s="87" t="s">
        <v>168</v>
      </c>
      <c r="CV13" s="86"/>
      <c r="CW13" s="86" t="str">
        <f>IF(ISBLANK(数据源!AU38),"",数据源!AU38)</f>
        <v/>
      </c>
      <c r="DA13" s="97">
        <f>IF(数据源!L38&lt;&gt;"QA",0,数据源!O38)</f>
        <v>0</v>
      </c>
      <c r="DB13" s="97">
        <f>数据源!M38</f>
        <v>0</v>
      </c>
      <c r="DC13" s="97">
        <f>数据源!N38</f>
        <v>0</v>
      </c>
      <c r="DD13" s="97">
        <f>IF(数据源!L38&lt;&gt;"QC",0,数据源!O38)</f>
        <v>0</v>
      </c>
    </row>
    <row r="14" spans="1:111">
      <c r="A14" s="1" t="str">
        <f>IF(数据源!K39="外检","#","")</f>
        <v/>
      </c>
      <c r="B14" s="2" t="str">
        <f>IF(ISBLANK(数据源!B39),"",数据源!B39)</f>
        <v/>
      </c>
      <c r="C14" s="2" t="str">
        <f>IF(ISBLANK(数据源!C39),"",IF(数据源!C39="/",数据源!F39,数据源!C39))</f>
        <v/>
      </c>
      <c r="D14" s="2" t="str">
        <f>IF(LEN(数据源!P39)=0,IF(LEN(数据源!D39)=0,"",数据源!D39),数据源!P39)</f>
        <v/>
      </c>
      <c r="E14" s="2"/>
      <c r="F14" s="2" t="str">
        <f>IF(ISBLANK(数据源!E39),"",数据源!E39)</f>
        <v/>
      </c>
      <c r="G14" s="2" t="str">
        <f>IF(ISBLANK(数据源!G39),"",IF(数据源!G39="A","合格","不合格"))</f>
        <v/>
      </c>
      <c r="H14" s="2" t="str">
        <f>IF(ISBLANK(数据源!H39),"",数据源!H39)</f>
        <v/>
      </c>
      <c r="I14" s="2" t="str">
        <f>IF(ISBLANK(数据源!J39),"",数据源!J39)</f>
        <v/>
      </c>
      <c r="J14" s="2" t="str">
        <f>IF(ISBLANK(数据源!L39),"",数据源!L39)</f>
        <v/>
      </c>
      <c r="K14" s="1" t="str">
        <f>IF(数据源!AD39="外检","#","")</f>
        <v/>
      </c>
      <c r="L14" s="2" t="str">
        <f>IF(ISBLANK(数据源!U39),"",数据源!U39)</f>
        <v/>
      </c>
      <c r="M14" s="2" t="str">
        <f>IF(ISBLANK(数据源!V39),"",IF(数据源!V39="/",数据源!Y39,数据源!V39))</f>
        <v/>
      </c>
      <c r="N14" s="2" t="str">
        <f>IF(LEN(数据源!AI39)=0,IF(LEN(数据源!W39)=0,"",数据源!W39),数据源!AI39)</f>
        <v/>
      </c>
      <c r="O14" s="1"/>
      <c r="P14" s="2" t="str">
        <f>IF(ISBLANK(数据源!X39),"",数据源!X39)</f>
        <v/>
      </c>
      <c r="Q14" s="2" t="str">
        <f>IF(ISBLANK(数据源!Z39),"",IF(数据源!Z39="A","合格","不合格"))</f>
        <v/>
      </c>
      <c r="R14" s="2" t="str">
        <f>IF(ISBLANK(数据源!AA39),"",数据源!AA39)</f>
        <v/>
      </c>
      <c r="S14" s="2" t="str">
        <f>IF(ISBLANK(数据源!AC39),"",数据源!AC39)</f>
        <v/>
      </c>
      <c r="T14" s="2" t="str">
        <f>IF(ISBLANK(数据源!AE39),"",数据源!AE39)</f>
        <v/>
      </c>
      <c r="Z14" t="s">
        <v>20</v>
      </c>
      <c r="AW14" s="1" t="str">
        <f>IF(数据源!K39="外检","#","")</f>
        <v/>
      </c>
      <c r="AX14" s="2" t="str">
        <f>IF(ISBLANK(数据源!Q39),"",数据源!Q39)</f>
        <v/>
      </c>
      <c r="AY14" s="2" t="str">
        <f>IF(ISBLANK(数据源!R39),"",数据源!R39)</f>
        <v/>
      </c>
      <c r="AZ14" s="2" t="str">
        <f>IF(LEN(数据源!P39)=0,IF(LEN(数据源!D39)=0,"",数据源!D39),数据源!P39)</f>
        <v/>
      </c>
      <c r="BA14" s="2"/>
      <c r="BB14" s="2" t="str">
        <f>IF(ISBLANK(数据源!E39),"",数据源!E39)</f>
        <v/>
      </c>
      <c r="BC14" s="2" t="str">
        <f>IF(ISBLANK(数据源!G39),"",IF(数据源!G39="A","Qualified","Unqualified"))</f>
        <v/>
      </c>
      <c r="BD14" s="2" t="str">
        <f>IF(ISBLANK(数据源!S39),"",数据源!S39)</f>
        <v/>
      </c>
      <c r="BE14" s="2" t="str">
        <f>IF(ISBLANK(数据源!J39),"",数据源!J39)</f>
        <v/>
      </c>
      <c r="BF14" s="2" t="str">
        <f>IF(ISBLANK(数据源!L39),"",数据源!L39)</f>
        <v/>
      </c>
      <c r="BG14" s="1" t="str">
        <f>IF(数据源!AD39="外检","#","")</f>
        <v/>
      </c>
      <c r="BH14" s="2" t="str">
        <f>IF(ISBLANK(数据源!AJ39),"",数据源!AJ39)</f>
        <v/>
      </c>
      <c r="BI14" s="2" t="str">
        <f>IF(ISBLANK(数据源!AK39),"",数据源!AK39)</f>
        <v/>
      </c>
      <c r="BJ14" s="2" t="str">
        <f>IF(LEN(数据源!AI39)=0,IF(LEN(数据源!W39)=0,"",数据源!W39),数据源!AI39)</f>
        <v/>
      </c>
      <c r="BK14" s="1"/>
      <c r="BL14" s="2" t="str">
        <f>IF(ISBLANK(数据源!X39),"",数据源!X39)</f>
        <v/>
      </c>
      <c r="BM14" s="2" t="str">
        <f>IF(ISBLANK(数据源!Z39),"",IF(数据源!Z39="A","Qualified","Unqualified"))</f>
        <v/>
      </c>
      <c r="BN14" s="2" t="str">
        <f>IF(ISBLANK(数据源!AL39),"",数据源!AL39)</f>
        <v/>
      </c>
      <c r="BO14" s="2" t="str">
        <f>IF(ISBLANK(数据源!AC39),"",数据源!AC39)</f>
        <v/>
      </c>
      <c r="BP14" s="2" t="str">
        <f>IF(ISBLANK(数据源!AE39),"",数据源!AE39)</f>
        <v/>
      </c>
      <c r="BV14" t="s">
        <v>20</v>
      </c>
      <c r="BW14" t="s">
        <v>20</v>
      </c>
      <c r="BX14" t="s">
        <v>20</v>
      </c>
      <c r="CP14" s="86" t="str">
        <f>IF(ISBLANK(数据源!AW39),"",数据源!AW39)</f>
        <v/>
      </c>
      <c r="CQ14" s="86"/>
      <c r="CR14" s="86" t="str">
        <f>IF(ISBLANK(数据源!AX39),"",数据源!AX39)</f>
        <v/>
      </c>
      <c r="CS14" s="86" t="str">
        <f>IF(ISBLANK(数据源!AV39),"",数据源!AV39)</f>
        <v/>
      </c>
      <c r="CT14" s="86"/>
      <c r="CU14" s="87" t="s">
        <v>168</v>
      </c>
      <c r="CV14" s="86"/>
      <c r="CW14" s="86" t="str">
        <f>IF(ISBLANK(数据源!AU39),"",数据源!AU39)</f>
        <v/>
      </c>
      <c r="DA14" s="97">
        <f>IF(数据源!L39&lt;&gt;"QA",0,数据源!O39)</f>
        <v>0</v>
      </c>
      <c r="DB14" s="97">
        <f>数据源!M39</f>
        <v>0</v>
      </c>
      <c r="DC14" s="97">
        <f>数据源!N39</f>
        <v>0</v>
      </c>
      <c r="DD14" s="97">
        <f>IF(数据源!L39&lt;&gt;"QC",0,数据源!O39)</f>
        <v>0</v>
      </c>
    </row>
    <row r="15" spans="1:111">
      <c r="A15" s="1" t="str">
        <f>IF(数据源!K40="外检","#","")</f>
        <v/>
      </c>
      <c r="B15" s="2" t="str">
        <f>IF(ISBLANK(数据源!B40),"",数据源!B40)</f>
        <v/>
      </c>
      <c r="C15" s="2" t="str">
        <f>IF(ISBLANK(数据源!C40),"",IF(数据源!C40="/",数据源!F40,数据源!C40))</f>
        <v/>
      </c>
      <c r="D15" s="2" t="str">
        <f>IF(LEN(数据源!P40)=0,IF(LEN(数据源!D40)=0,"",数据源!D40),数据源!P40)</f>
        <v/>
      </c>
      <c r="E15" s="2"/>
      <c r="F15" s="2" t="str">
        <f>IF(ISBLANK(数据源!E40),"",数据源!E40)</f>
        <v/>
      </c>
      <c r="G15" s="2" t="str">
        <f>IF(ISBLANK(数据源!G40),"",IF(数据源!G40="A","合格","不合格"))</f>
        <v/>
      </c>
      <c r="H15" s="2" t="str">
        <f>IF(ISBLANK(数据源!H40),"",数据源!H40)</f>
        <v/>
      </c>
      <c r="I15" s="2" t="str">
        <f>IF(ISBLANK(数据源!J40),"",数据源!J40)</f>
        <v/>
      </c>
      <c r="J15" s="2" t="str">
        <f>IF(ISBLANK(数据源!L40),"",数据源!L40)</f>
        <v/>
      </c>
      <c r="K15" s="1" t="str">
        <f>IF(数据源!AD40="外检","#","")</f>
        <v/>
      </c>
      <c r="L15" s="2" t="str">
        <f>IF(ISBLANK(数据源!U40),"",数据源!U40)</f>
        <v/>
      </c>
      <c r="M15" s="2" t="str">
        <f>IF(ISBLANK(数据源!V40),"",IF(数据源!V40="/",数据源!Y40,数据源!V40))</f>
        <v/>
      </c>
      <c r="N15" s="2" t="str">
        <f>IF(LEN(数据源!AI40)=0,IF(LEN(数据源!W40)=0,"",数据源!W40),数据源!AI40)</f>
        <v/>
      </c>
      <c r="O15" s="1"/>
      <c r="P15" s="2" t="str">
        <f>IF(ISBLANK(数据源!X40),"",数据源!X40)</f>
        <v/>
      </c>
      <c r="Q15" s="2" t="str">
        <f>IF(ISBLANK(数据源!Z40),"",IF(数据源!Z40="A","合格","不合格"))</f>
        <v/>
      </c>
      <c r="R15" s="2" t="str">
        <f>IF(ISBLANK(数据源!AA40),"",数据源!AA40)</f>
        <v/>
      </c>
      <c r="S15" s="2" t="str">
        <f>IF(ISBLANK(数据源!AC40),"",数据源!AC40)</f>
        <v/>
      </c>
      <c r="T15" s="2" t="str">
        <f>IF(ISBLANK(数据源!AE40),"",数据源!AE40)</f>
        <v/>
      </c>
      <c r="V15" s="94"/>
      <c r="Z15" t="s">
        <v>20</v>
      </c>
      <c r="AW15" s="1" t="str">
        <f>IF(数据源!K40="外检","#","")</f>
        <v/>
      </c>
      <c r="AX15" s="2" t="str">
        <f>IF(ISBLANK(数据源!Q40),"",数据源!Q40)</f>
        <v/>
      </c>
      <c r="AY15" s="2" t="str">
        <f>IF(ISBLANK(数据源!R40),"",数据源!R40)</f>
        <v/>
      </c>
      <c r="AZ15" s="2" t="str">
        <f>IF(LEN(数据源!P40)=0,IF(LEN(数据源!D40)=0,"",数据源!D40),数据源!P40)</f>
        <v/>
      </c>
      <c r="BA15" s="2"/>
      <c r="BB15" s="2" t="str">
        <f>IF(ISBLANK(数据源!E40),"",数据源!E40)</f>
        <v/>
      </c>
      <c r="BC15" s="2" t="str">
        <f>IF(ISBLANK(数据源!G40),"",IF(数据源!G40="A","Qualified","Unqualified"))</f>
        <v/>
      </c>
      <c r="BD15" s="2" t="str">
        <f>IF(ISBLANK(数据源!S40),"",数据源!S40)</f>
        <v/>
      </c>
      <c r="BE15" s="2" t="str">
        <f>IF(ISBLANK(数据源!J40),"",数据源!J40)</f>
        <v/>
      </c>
      <c r="BF15" s="2" t="str">
        <f>IF(ISBLANK(数据源!L40),"",数据源!L40)</f>
        <v/>
      </c>
      <c r="BG15" s="1" t="str">
        <f>IF(数据源!AD40="外检","#","")</f>
        <v/>
      </c>
      <c r="BH15" s="2" t="str">
        <f>IF(ISBLANK(数据源!AJ40),"",数据源!AJ40)</f>
        <v/>
      </c>
      <c r="BI15" s="2" t="str">
        <f>IF(ISBLANK(数据源!AK40),"",数据源!AK40)</f>
        <v/>
      </c>
      <c r="BJ15" s="2" t="str">
        <f>IF(LEN(数据源!AI40)=0,IF(LEN(数据源!W40)=0,"",数据源!W40),数据源!AI40)</f>
        <v/>
      </c>
      <c r="BK15" s="1"/>
      <c r="BL15" s="2" t="str">
        <f>IF(ISBLANK(数据源!X40),"",数据源!X40)</f>
        <v/>
      </c>
      <c r="BM15" s="2" t="str">
        <f>IF(ISBLANK(数据源!Z40),"",IF(数据源!Z40="A","Qualified","Unqualified"))</f>
        <v/>
      </c>
      <c r="BN15" s="2" t="str">
        <f>IF(ISBLANK(数据源!AL40),"",数据源!AL40)</f>
        <v/>
      </c>
      <c r="BO15" s="2" t="str">
        <f>IF(ISBLANK(数据源!AC40),"",数据源!AC40)</f>
        <v/>
      </c>
      <c r="BP15" s="2" t="str">
        <f>IF(ISBLANK(数据源!AE40),"",数据源!AE40)</f>
        <v/>
      </c>
      <c r="BV15" t="s">
        <v>20</v>
      </c>
      <c r="BW15" t="s">
        <v>20</v>
      </c>
      <c r="BX15" t="s">
        <v>20</v>
      </c>
      <c r="CP15" s="86" t="str">
        <f>IF(ISBLANK(数据源!AW40),"",数据源!AW40)</f>
        <v/>
      </c>
      <c r="CQ15" s="86"/>
      <c r="CR15" s="86" t="str">
        <f>IF(ISBLANK(数据源!AX40),"",数据源!AX40)</f>
        <v/>
      </c>
      <c r="CS15" s="86" t="str">
        <f>IF(ISBLANK(数据源!AV40),"",数据源!AV40)</f>
        <v/>
      </c>
      <c r="CT15" s="86"/>
      <c r="CU15" s="87" t="s">
        <v>168</v>
      </c>
      <c r="CV15" s="86"/>
      <c r="CW15" s="86" t="str">
        <f>IF(ISBLANK(数据源!AU40),"",数据源!AU40)</f>
        <v/>
      </c>
      <c r="DA15" s="97">
        <f>IF(数据源!L40&lt;&gt;"QA",0,数据源!O40)</f>
        <v>0</v>
      </c>
      <c r="DB15" s="97">
        <f>数据源!M40</f>
        <v>0</v>
      </c>
      <c r="DC15" s="97">
        <f>数据源!N40</f>
        <v>0</v>
      </c>
      <c r="DD15" s="97">
        <f>IF(数据源!L40&lt;&gt;"QC",0,数据源!O40)</f>
        <v>0</v>
      </c>
    </row>
    <row r="16" spans="1:111">
      <c r="A16" s="1" t="str">
        <f>IF(数据源!K41="外检","#","")</f>
        <v/>
      </c>
      <c r="B16" s="2" t="str">
        <f>IF(ISBLANK(数据源!B41),"",数据源!B41)</f>
        <v/>
      </c>
      <c r="C16" s="2" t="str">
        <f>IF(ISBLANK(数据源!C41),"",IF(数据源!C41="/",数据源!F41,数据源!C41))</f>
        <v/>
      </c>
      <c r="D16" s="2" t="str">
        <f>IF(LEN(数据源!P41)=0,IF(LEN(数据源!D41)=0,"",数据源!D41),数据源!P41)</f>
        <v/>
      </c>
      <c r="E16" s="2"/>
      <c r="F16" s="2" t="str">
        <f>IF(ISBLANK(数据源!E41),"",数据源!E41)</f>
        <v/>
      </c>
      <c r="G16" s="2" t="str">
        <f>IF(ISBLANK(数据源!G41),"",IF(数据源!G41="A","合格","不合格"))</f>
        <v/>
      </c>
      <c r="H16" s="2" t="str">
        <f>IF(ISBLANK(数据源!H41),"",数据源!H41)</f>
        <v/>
      </c>
      <c r="I16" s="2" t="str">
        <f>IF(ISBLANK(数据源!J41),"",数据源!J41)</f>
        <v/>
      </c>
      <c r="J16" s="2" t="str">
        <f>IF(ISBLANK(数据源!L41),"",数据源!L41)</f>
        <v/>
      </c>
      <c r="K16" s="1" t="str">
        <f>IF(数据源!AD41="外检","#","")</f>
        <v/>
      </c>
      <c r="L16" s="2" t="str">
        <f>IF(ISBLANK(数据源!U41),"",数据源!U41)</f>
        <v/>
      </c>
      <c r="M16" s="2" t="str">
        <f>IF(ISBLANK(数据源!V41),"",IF(数据源!V41="/",数据源!Y41,数据源!V41))</f>
        <v/>
      </c>
      <c r="N16" s="2" t="str">
        <f>IF(LEN(数据源!AI41)=0,IF(LEN(数据源!W41)=0,"",数据源!W41),数据源!AI41)</f>
        <v/>
      </c>
      <c r="O16" s="1"/>
      <c r="P16" s="2" t="str">
        <f>IF(ISBLANK(数据源!X41),"",数据源!X41)</f>
        <v/>
      </c>
      <c r="Q16" s="2" t="str">
        <f>IF(ISBLANK(数据源!Z41),"",IF(数据源!Z41="A","合格","不合格"))</f>
        <v/>
      </c>
      <c r="R16" s="2" t="str">
        <f>IF(ISBLANK(数据源!AA41),"",数据源!AA41)</f>
        <v/>
      </c>
      <c r="S16" s="2" t="str">
        <f>IF(ISBLANK(数据源!AC41),"",数据源!AC41)</f>
        <v/>
      </c>
      <c r="T16" s="2" t="str">
        <f>IF(ISBLANK(数据源!AE41),"",数据源!AE41)</f>
        <v/>
      </c>
      <c r="U16" s="62" t="s">
        <v>56</v>
      </c>
      <c r="V16" s="278" t="e">
        <f>IF(ISBLANK(MAX(数据源!O26:O126)),V10,IF(MAX(数据源!O26:O126)&gt;MAX(数据源!AH26:AH126),V2,V10))</f>
        <v>#N/A</v>
      </c>
      <c r="Z16" t="s">
        <v>20</v>
      </c>
      <c r="AW16" s="1" t="str">
        <f>IF(数据源!K41="外检","#","")</f>
        <v/>
      </c>
      <c r="AX16" s="2" t="str">
        <f>IF(ISBLANK(数据源!Q41),"",数据源!Q41)</f>
        <v/>
      </c>
      <c r="AY16" s="2" t="str">
        <f>IF(ISBLANK(数据源!R41),"",数据源!R41)</f>
        <v/>
      </c>
      <c r="AZ16" s="2" t="str">
        <f>IF(LEN(数据源!P41)=0,IF(LEN(数据源!D41)=0,"",数据源!D41),数据源!P41)</f>
        <v/>
      </c>
      <c r="BA16" s="2"/>
      <c r="BB16" s="2" t="str">
        <f>IF(ISBLANK(数据源!E41),"",数据源!E41)</f>
        <v/>
      </c>
      <c r="BC16" s="2" t="str">
        <f>IF(ISBLANK(数据源!G41),"",IF(数据源!G41="A","Qualified","Unqualified"))</f>
        <v/>
      </c>
      <c r="BD16" s="2" t="str">
        <f>IF(ISBLANK(数据源!S41),"",数据源!S41)</f>
        <v/>
      </c>
      <c r="BE16" s="2" t="str">
        <f>IF(ISBLANK(数据源!J41),"",数据源!J41)</f>
        <v/>
      </c>
      <c r="BF16" s="2" t="str">
        <f>IF(ISBLANK(数据源!L41),"",数据源!L41)</f>
        <v/>
      </c>
      <c r="BG16" s="1" t="str">
        <f>IF(数据源!AD41="外检","#","")</f>
        <v/>
      </c>
      <c r="BH16" s="2" t="str">
        <f>IF(ISBLANK(数据源!AJ41),"",数据源!AJ41)</f>
        <v/>
      </c>
      <c r="BI16" s="2" t="str">
        <f>IF(ISBLANK(数据源!AK41),"",数据源!AK41)</f>
        <v/>
      </c>
      <c r="BJ16" s="2" t="str">
        <f>IF(LEN(数据源!AI41)=0,IF(LEN(数据源!W41)=0,"",数据源!W41),数据源!AI41)</f>
        <v/>
      </c>
      <c r="BK16" s="1"/>
      <c r="BL16" s="2" t="str">
        <f>IF(ISBLANK(数据源!X41),"",数据源!X41)</f>
        <v/>
      </c>
      <c r="BM16" s="2" t="str">
        <f>IF(ISBLANK(数据源!Z41),"",IF(数据源!Z41="A","Qualified","Unqualified"))</f>
        <v/>
      </c>
      <c r="BN16" s="2" t="str">
        <f>IF(ISBLANK(数据源!AL41),"",数据源!AL41)</f>
        <v/>
      </c>
      <c r="BO16" s="2" t="str">
        <f>IF(ISBLANK(数据源!AC41),"",数据源!AC41)</f>
        <v/>
      </c>
      <c r="BP16" s="2" t="str">
        <f>IF(ISBLANK(数据源!AE41),"",数据源!AE41)</f>
        <v/>
      </c>
      <c r="BV16" t="s">
        <v>20</v>
      </c>
      <c r="BW16" t="s">
        <v>20</v>
      </c>
      <c r="BX16" t="s">
        <v>20</v>
      </c>
      <c r="CP16" s="86" t="str">
        <f>IF(ISBLANK(数据源!AW41),"",数据源!AW41)</f>
        <v/>
      </c>
      <c r="CQ16" s="86"/>
      <c r="CR16" s="86" t="str">
        <f>IF(ISBLANK(数据源!AX41),"",数据源!AX41)</f>
        <v/>
      </c>
      <c r="CS16" s="86" t="str">
        <f>IF(ISBLANK(数据源!AV41),"",数据源!AV41)</f>
        <v/>
      </c>
      <c r="CT16" s="86"/>
      <c r="CU16" s="87" t="s">
        <v>168</v>
      </c>
      <c r="CV16" s="86"/>
      <c r="CW16" s="86" t="str">
        <f>IF(ISBLANK(数据源!AU41),"",数据源!AU41)</f>
        <v/>
      </c>
      <c r="DA16" s="97">
        <f>IF(数据源!L41&lt;&gt;"QA",0,数据源!O41)</f>
        <v>0</v>
      </c>
      <c r="DB16" s="97">
        <f>数据源!M41</f>
        <v>0</v>
      </c>
      <c r="DC16" s="97">
        <f>数据源!N41</f>
        <v>0</v>
      </c>
      <c r="DD16" s="97">
        <f>IF(数据源!L41&lt;&gt;"QC",0,数据源!O41)</f>
        <v>0</v>
      </c>
    </row>
    <row r="17" spans="1:108">
      <c r="A17" s="1" t="str">
        <f>IF(数据源!K42="外检","#","")</f>
        <v/>
      </c>
      <c r="B17" s="2" t="str">
        <f>IF(ISBLANK(数据源!B42),"",数据源!B42)</f>
        <v/>
      </c>
      <c r="C17" s="2" t="str">
        <f>IF(ISBLANK(数据源!C42),"",IF(数据源!C42="/",数据源!F42,数据源!C42))</f>
        <v/>
      </c>
      <c r="D17" s="2" t="str">
        <f>IF(LEN(数据源!P42)=0,IF(LEN(数据源!D42)=0,"",数据源!D42),数据源!P42)</f>
        <v/>
      </c>
      <c r="E17" s="2"/>
      <c r="F17" s="2" t="str">
        <f>IF(ISBLANK(数据源!E42),"",数据源!E42)</f>
        <v/>
      </c>
      <c r="G17" s="2" t="str">
        <f>IF(ISBLANK(数据源!G42),"",IF(数据源!G42="A","合格","不合格"))</f>
        <v/>
      </c>
      <c r="H17" s="2" t="str">
        <f>IF(ISBLANK(数据源!H42),"",数据源!H42)</f>
        <v/>
      </c>
      <c r="I17" s="2" t="str">
        <f>IF(ISBLANK(数据源!J42),"",数据源!J42)</f>
        <v/>
      </c>
      <c r="J17" s="2" t="str">
        <f>IF(ISBLANK(数据源!L42),"",数据源!L42)</f>
        <v/>
      </c>
      <c r="K17" s="1" t="str">
        <f>IF(数据源!AD42="外检","#","")</f>
        <v/>
      </c>
      <c r="L17" s="2" t="str">
        <f>IF(ISBLANK(数据源!U42),"",数据源!U42)</f>
        <v/>
      </c>
      <c r="M17" s="2" t="str">
        <f>IF(ISBLANK(数据源!V42),"",IF(数据源!V42="/",数据源!Y42,数据源!V42))</f>
        <v/>
      </c>
      <c r="N17" s="2" t="str">
        <f>IF(LEN(数据源!AI42)=0,IF(LEN(数据源!W42)=0,"",数据源!W42),数据源!AI42)</f>
        <v/>
      </c>
      <c r="O17" s="1"/>
      <c r="P17" s="2" t="str">
        <f>IF(ISBLANK(数据源!X42),"",数据源!X42)</f>
        <v/>
      </c>
      <c r="Q17" s="2" t="str">
        <f>IF(ISBLANK(数据源!Z42),"",IF(数据源!Z42="A","合格","不合格"))</f>
        <v/>
      </c>
      <c r="R17" s="2" t="str">
        <f>IF(ISBLANK(数据源!AA42),"",数据源!AA42)</f>
        <v/>
      </c>
      <c r="S17" s="2" t="str">
        <f>IF(ISBLANK(数据源!AC42),"",数据源!AC42)</f>
        <v/>
      </c>
      <c r="T17" s="2" t="str">
        <f>IF(ISBLANK(数据源!AE42),"",数据源!AE42)</f>
        <v/>
      </c>
      <c r="U17" s="62" t="s">
        <v>58</v>
      </c>
      <c r="V17" s="94" t="e">
        <f>IFERROR(V4,V12)</f>
        <v>#N/A</v>
      </c>
      <c r="Z17" t="s">
        <v>20</v>
      </c>
      <c r="AW17" s="1" t="str">
        <f>IF(数据源!K42="外检","#","")</f>
        <v/>
      </c>
      <c r="AX17" s="2" t="str">
        <f>IF(ISBLANK(数据源!Q42),"",数据源!Q42)</f>
        <v/>
      </c>
      <c r="AY17" s="2" t="str">
        <f>IF(ISBLANK(数据源!R42),"",数据源!R42)</f>
        <v/>
      </c>
      <c r="AZ17" s="2" t="str">
        <f>IF(LEN(数据源!P42)=0,IF(LEN(数据源!D42)=0,"",数据源!D42),数据源!P42)</f>
        <v/>
      </c>
      <c r="BA17" s="2"/>
      <c r="BB17" s="2" t="str">
        <f>IF(ISBLANK(数据源!E42),"",数据源!E42)</f>
        <v/>
      </c>
      <c r="BC17" s="2" t="str">
        <f>IF(ISBLANK(数据源!G42),"",IF(数据源!G42="A","Qualified","Unqualified"))</f>
        <v/>
      </c>
      <c r="BD17" s="2" t="str">
        <f>IF(ISBLANK(数据源!S42),"",数据源!S42)</f>
        <v/>
      </c>
      <c r="BE17" s="2" t="str">
        <f>IF(ISBLANK(数据源!J42),"",数据源!J42)</f>
        <v/>
      </c>
      <c r="BF17" s="2" t="str">
        <f>IF(ISBLANK(数据源!L42),"",数据源!L42)</f>
        <v/>
      </c>
      <c r="BG17" s="1" t="str">
        <f>IF(数据源!AD42="外检","#","")</f>
        <v/>
      </c>
      <c r="BH17" s="2" t="str">
        <f>IF(ISBLANK(数据源!AJ42),"",数据源!AJ42)</f>
        <v/>
      </c>
      <c r="BI17" s="2" t="str">
        <f>IF(ISBLANK(数据源!AK42),"",数据源!AK42)</f>
        <v/>
      </c>
      <c r="BJ17" s="2" t="str">
        <f>IF(LEN(数据源!AI42)=0,IF(LEN(数据源!W42)=0,"",数据源!W42),数据源!AI42)</f>
        <v/>
      </c>
      <c r="BK17" s="1"/>
      <c r="BL17" s="2" t="str">
        <f>IF(ISBLANK(数据源!X42),"",数据源!X42)</f>
        <v/>
      </c>
      <c r="BM17" s="2" t="str">
        <f>IF(ISBLANK(数据源!Z42),"",IF(数据源!Z42="A","Qualified","Unqualified"))</f>
        <v/>
      </c>
      <c r="BN17" s="2" t="str">
        <f>IF(ISBLANK(数据源!AL42),"",数据源!AL42)</f>
        <v/>
      </c>
      <c r="BO17" s="2" t="str">
        <f>IF(ISBLANK(数据源!AC42),"",数据源!AC42)</f>
        <v/>
      </c>
      <c r="BP17" s="2" t="str">
        <f>IF(ISBLANK(数据源!AE42),"",数据源!AE42)</f>
        <v/>
      </c>
      <c r="BV17" t="s">
        <v>20</v>
      </c>
      <c r="BW17" t="s">
        <v>20</v>
      </c>
      <c r="BX17" t="s">
        <v>20</v>
      </c>
      <c r="CP17" s="86" t="str">
        <f>IF(ISBLANK(数据源!AW42),"",数据源!AW42)</f>
        <v/>
      </c>
      <c r="CQ17" s="86"/>
      <c r="CR17" s="86" t="str">
        <f>IF(ISBLANK(数据源!AX42),"",数据源!AX42)</f>
        <v/>
      </c>
      <c r="CS17" s="86" t="str">
        <f>IF(ISBLANK(数据源!AV42),"",数据源!AV42)</f>
        <v/>
      </c>
      <c r="CT17" s="86"/>
      <c r="CU17" s="87" t="s">
        <v>168</v>
      </c>
      <c r="CV17" s="86"/>
      <c r="CW17" s="86" t="str">
        <f>IF(ISBLANK(数据源!AU42),"",数据源!AU42)</f>
        <v/>
      </c>
      <c r="DA17" s="97">
        <f>IF(数据源!L42&lt;&gt;"QA",0,数据源!O42)</f>
        <v>0</v>
      </c>
      <c r="DB17" s="97">
        <f>数据源!M42</f>
        <v>0</v>
      </c>
      <c r="DC17" s="97">
        <f>数据源!N42</f>
        <v>0</v>
      </c>
      <c r="DD17" s="97">
        <f>IF(数据源!L42&lt;&gt;"QC",0,数据源!O42)</f>
        <v>0</v>
      </c>
    </row>
    <row r="18" spans="1:108">
      <c r="A18" s="1" t="str">
        <f>IF(数据源!K43="外检","#","")</f>
        <v/>
      </c>
      <c r="B18" s="2" t="str">
        <f>IF(ISBLANK(数据源!B43),"",数据源!B43)</f>
        <v/>
      </c>
      <c r="C18" s="2" t="str">
        <f>IF(ISBLANK(数据源!C43),"",IF(数据源!C43="/",数据源!F43,数据源!C43))</f>
        <v/>
      </c>
      <c r="D18" s="2" t="str">
        <f>IF(LEN(数据源!P43)=0,IF(LEN(数据源!D43)=0,"",数据源!D43),数据源!P43)</f>
        <v/>
      </c>
      <c r="E18" s="2"/>
      <c r="F18" s="2" t="str">
        <f>IF(ISBLANK(数据源!E43),"",数据源!E43)</f>
        <v/>
      </c>
      <c r="G18" s="2" t="str">
        <f>IF(ISBLANK(数据源!G43),"",IF(数据源!G43="A","合格","不合格"))</f>
        <v/>
      </c>
      <c r="H18" s="2" t="str">
        <f>IF(ISBLANK(数据源!H43),"",数据源!H43)</f>
        <v/>
      </c>
      <c r="I18" s="2" t="str">
        <f>IF(ISBLANK(数据源!J43),"",数据源!J43)</f>
        <v/>
      </c>
      <c r="J18" s="2" t="str">
        <f>IF(ISBLANK(数据源!L43),"",数据源!L43)</f>
        <v/>
      </c>
      <c r="K18" s="1" t="str">
        <f>IF(数据源!AD43="外检","#","")</f>
        <v/>
      </c>
      <c r="L18" s="2" t="str">
        <f>IF(ISBLANK(数据源!U43),"",数据源!U43)</f>
        <v/>
      </c>
      <c r="M18" s="2" t="str">
        <f>IF(ISBLANK(数据源!V43),"",IF(数据源!V43="/",数据源!Y43,数据源!V43))</f>
        <v/>
      </c>
      <c r="N18" s="2" t="str">
        <f>IF(LEN(数据源!AI43)=0,IF(LEN(数据源!W43)=0,"",数据源!W43),数据源!AI43)</f>
        <v/>
      </c>
      <c r="O18" s="1"/>
      <c r="P18" s="2" t="str">
        <f>IF(ISBLANK(数据源!X43),"",数据源!X43)</f>
        <v/>
      </c>
      <c r="Q18" s="2" t="str">
        <f>IF(ISBLANK(数据源!Z43),"",IF(数据源!Z43="A","合格","不合格"))</f>
        <v/>
      </c>
      <c r="R18" s="2" t="str">
        <f>IF(ISBLANK(数据源!AA43),"",数据源!AA43)</f>
        <v/>
      </c>
      <c r="S18" s="2" t="str">
        <f>IF(ISBLANK(数据源!AC43),"",数据源!AC43)</f>
        <v/>
      </c>
      <c r="T18" s="2" t="str">
        <f>IF(ISBLANK(数据源!AE43),"",数据源!AE43)</f>
        <v/>
      </c>
      <c r="U18" s="62" t="s">
        <v>59</v>
      </c>
      <c r="V18" s="94" t="e">
        <f>IFERROR(V5,V13)</f>
        <v>#N/A</v>
      </c>
      <c r="Z18" t="s">
        <v>20</v>
      </c>
      <c r="AW18" s="1" t="str">
        <f>IF(数据源!K43="外检","#","")</f>
        <v/>
      </c>
      <c r="AX18" s="2" t="str">
        <f>IF(ISBLANK(数据源!Q43),"",数据源!Q43)</f>
        <v/>
      </c>
      <c r="AY18" s="2" t="str">
        <f>IF(ISBLANK(数据源!R43),"",数据源!R43)</f>
        <v/>
      </c>
      <c r="AZ18" s="2" t="str">
        <f>IF(LEN(数据源!P43)=0,IF(LEN(数据源!D43)=0,"",数据源!D43),数据源!P43)</f>
        <v/>
      </c>
      <c r="BA18" s="2"/>
      <c r="BB18" s="2" t="str">
        <f>IF(ISBLANK(数据源!E43),"",数据源!E43)</f>
        <v/>
      </c>
      <c r="BC18" s="2" t="str">
        <f>IF(ISBLANK(数据源!G43),"",IF(数据源!G43="A","Qualified","Unqualified"))</f>
        <v/>
      </c>
      <c r="BD18" s="2" t="str">
        <f>IF(ISBLANK(数据源!S43),"",数据源!S43)</f>
        <v/>
      </c>
      <c r="BE18" s="2" t="str">
        <f>IF(ISBLANK(数据源!J43),"",数据源!J43)</f>
        <v/>
      </c>
      <c r="BF18" s="2" t="str">
        <f>IF(ISBLANK(数据源!L43),"",数据源!L43)</f>
        <v/>
      </c>
      <c r="BG18" s="1" t="str">
        <f>IF(数据源!AD43="外检","#","")</f>
        <v/>
      </c>
      <c r="BH18" s="2" t="str">
        <f>IF(ISBLANK(数据源!AJ43),"",数据源!AJ43)</f>
        <v/>
      </c>
      <c r="BI18" s="2" t="str">
        <f>IF(ISBLANK(数据源!AK43),"",数据源!AK43)</f>
        <v/>
      </c>
      <c r="BJ18" s="2" t="str">
        <f>IF(LEN(数据源!AI43)=0,IF(LEN(数据源!W43)=0,"",数据源!W43),数据源!AI43)</f>
        <v/>
      </c>
      <c r="BK18" s="1"/>
      <c r="BL18" s="2" t="str">
        <f>IF(ISBLANK(数据源!X43),"",数据源!X43)</f>
        <v/>
      </c>
      <c r="BM18" s="2" t="str">
        <f>IF(ISBLANK(数据源!Z43),"",IF(数据源!Z43="A","Qualified","Unqualified"))</f>
        <v/>
      </c>
      <c r="BN18" s="2" t="str">
        <f>IF(ISBLANK(数据源!AL43),"",数据源!AL43)</f>
        <v/>
      </c>
      <c r="BO18" s="2" t="str">
        <f>IF(ISBLANK(数据源!AC43),"",数据源!AC43)</f>
        <v/>
      </c>
      <c r="BP18" s="2" t="str">
        <f>IF(ISBLANK(数据源!AE43),"",数据源!AE43)</f>
        <v/>
      </c>
      <c r="BV18" t="s">
        <v>20</v>
      </c>
      <c r="BW18" t="s">
        <v>20</v>
      </c>
      <c r="BX18" t="s">
        <v>20</v>
      </c>
      <c r="CP18" s="86" t="str">
        <f>IF(ISBLANK(数据源!AW43),"",数据源!AW43)</f>
        <v/>
      </c>
      <c r="CQ18" s="86"/>
      <c r="CR18" s="86" t="str">
        <f>IF(ISBLANK(数据源!AX43),"",数据源!AX43)</f>
        <v/>
      </c>
      <c r="CS18" s="86" t="str">
        <f>IF(ISBLANK(数据源!AV43),"",数据源!AV43)</f>
        <v/>
      </c>
      <c r="CT18" s="86"/>
      <c r="CU18" s="87" t="s">
        <v>168</v>
      </c>
      <c r="CV18" s="86"/>
      <c r="CW18" s="86" t="str">
        <f>IF(ISBLANK(数据源!AU43),"",数据源!AU43)</f>
        <v/>
      </c>
      <c r="DA18" s="97">
        <f>IF(数据源!L43&lt;&gt;"QA",0,数据源!O43)</f>
        <v>0</v>
      </c>
      <c r="DB18" s="97">
        <f>数据源!M43</f>
        <v>0</v>
      </c>
      <c r="DC18" s="97">
        <f>数据源!N43</f>
        <v>0</v>
      </c>
      <c r="DD18" s="97">
        <f>IF(数据源!L43&lt;&gt;"QC",0,数据源!O43)</f>
        <v>0</v>
      </c>
    </row>
    <row r="19" spans="1:108">
      <c r="A19" s="1" t="str">
        <f>IF(数据源!K44="外检","#","")</f>
        <v/>
      </c>
      <c r="B19" s="2" t="str">
        <f>IF(ISBLANK(数据源!B44),"",数据源!B44)</f>
        <v/>
      </c>
      <c r="C19" s="2" t="str">
        <f>IF(ISBLANK(数据源!C44),"",IF(数据源!C44="/",数据源!F44,数据源!C44))</f>
        <v/>
      </c>
      <c r="D19" s="2" t="str">
        <f>IF(LEN(数据源!P44)=0,IF(LEN(数据源!D44)=0,"",数据源!D44),数据源!P44)</f>
        <v/>
      </c>
      <c r="E19" s="2"/>
      <c r="F19" s="2" t="str">
        <f>IF(ISBLANK(数据源!E44),"",数据源!E44)</f>
        <v/>
      </c>
      <c r="G19" s="2" t="str">
        <f>IF(ISBLANK(数据源!G44),"",IF(数据源!G44="A","合格","不合格"))</f>
        <v/>
      </c>
      <c r="H19" s="2" t="str">
        <f>IF(ISBLANK(数据源!H44),"",数据源!H44)</f>
        <v/>
      </c>
      <c r="I19" s="2" t="str">
        <f>IF(ISBLANK(数据源!J44),"",数据源!J44)</f>
        <v/>
      </c>
      <c r="J19" s="2" t="str">
        <f>IF(ISBLANK(数据源!L44),"",数据源!L44)</f>
        <v/>
      </c>
      <c r="K19" s="1" t="str">
        <f>IF(数据源!AD44="外检","#","")</f>
        <v/>
      </c>
      <c r="L19" s="2" t="str">
        <f>IF(ISBLANK(数据源!U44),"",数据源!U44)</f>
        <v/>
      </c>
      <c r="M19" s="2" t="str">
        <f>IF(ISBLANK(数据源!V44),"",IF(数据源!V44="/",数据源!Y44,数据源!V44))</f>
        <v/>
      </c>
      <c r="N19" s="2" t="str">
        <f>IF(LEN(数据源!AI44)=0,IF(LEN(数据源!W44)=0,"",数据源!W44),数据源!AI44)</f>
        <v/>
      </c>
      <c r="O19" s="1"/>
      <c r="P19" s="2" t="str">
        <f>IF(ISBLANK(数据源!X44),"",数据源!X44)</f>
        <v/>
      </c>
      <c r="Q19" s="2" t="str">
        <f>IF(ISBLANK(数据源!Z44),"",IF(数据源!Z44="A","合格","不合格"))</f>
        <v/>
      </c>
      <c r="R19" s="2" t="str">
        <f>IF(ISBLANK(数据源!AA44),"",数据源!AA44)</f>
        <v/>
      </c>
      <c r="S19" s="2" t="str">
        <f>IF(ISBLANK(数据源!AC44),"",数据源!AC44)</f>
        <v/>
      </c>
      <c r="T19" s="2" t="str">
        <f>IF(ISBLANK(数据源!AE44),"",数据源!AE44)</f>
        <v/>
      </c>
      <c r="Z19" t="s">
        <v>20</v>
      </c>
      <c r="AW19" s="1" t="str">
        <f>IF(数据源!K44="外检","#","")</f>
        <v/>
      </c>
      <c r="AX19" s="2" t="str">
        <f>IF(ISBLANK(数据源!Q44),"",数据源!Q44)</f>
        <v/>
      </c>
      <c r="AY19" s="2" t="str">
        <f>IF(ISBLANK(数据源!R44),"",数据源!R44)</f>
        <v/>
      </c>
      <c r="AZ19" s="2" t="str">
        <f>IF(LEN(数据源!P44)=0,IF(LEN(数据源!D44)=0,"",数据源!D44),数据源!P44)</f>
        <v/>
      </c>
      <c r="BA19" s="2"/>
      <c r="BB19" s="2" t="str">
        <f>IF(ISBLANK(数据源!E44),"",数据源!E44)</f>
        <v/>
      </c>
      <c r="BC19" s="2" t="str">
        <f>IF(ISBLANK(数据源!G44),"",IF(数据源!G44="A","Qualified","Unqualified"))</f>
        <v/>
      </c>
      <c r="BD19" s="2" t="str">
        <f>IF(ISBLANK(数据源!S44),"",数据源!S44)</f>
        <v/>
      </c>
      <c r="BE19" s="2" t="str">
        <f>IF(ISBLANK(数据源!J44),"",数据源!J44)</f>
        <v/>
      </c>
      <c r="BF19" s="2" t="str">
        <f>IF(ISBLANK(数据源!L44),"",数据源!L44)</f>
        <v/>
      </c>
      <c r="BG19" s="1" t="str">
        <f>IF(数据源!AD44="外检","#","")</f>
        <v/>
      </c>
      <c r="BH19" s="2" t="str">
        <f>IF(ISBLANK(数据源!AJ44),"",数据源!AJ44)</f>
        <v/>
      </c>
      <c r="BI19" s="2" t="str">
        <f>IF(ISBLANK(数据源!AK44),"",数据源!AK44)</f>
        <v/>
      </c>
      <c r="BJ19" s="2" t="str">
        <f>IF(LEN(数据源!AI44)=0,IF(LEN(数据源!W44)=0,"",数据源!W44),数据源!AI44)</f>
        <v/>
      </c>
      <c r="BK19" s="1"/>
      <c r="BL19" s="2" t="str">
        <f>IF(ISBLANK(数据源!X44),"",数据源!X44)</f>
        <v/>
      </c>
      <c r="BM19" s="2" t="str">
        <f>IF(ISBLANK(数据源!Z44),"",IF(数据源!Z44="A","Qualified","Unqualified"))</f>
        <v/>
      </c>
      <c r="BN19" s="2" t="str">
        <f>IF(ISBLANK(数据源!AL44),"",数据源!AL44)</f>
        <v/>
      </c>
      <c r="BO19" s="2" t="str">
        <f>IF(ISBLANK(数据源!AC44),"",数据源!AC44)</f>
        <v/>
      </c>
      <c r="BP19" s="2" t="str">
        <f>IF(ISBLANK(数据源!AE44),"",数据源!AE44)</f>
        <v/>
      </c>
      <c r="BV19" t="s">
        <v>20</v>
      </c>
      <c r="BW19" t="s">
        <v>20</v>
      </c>
      <c r="BX19" t="s">
        <v>20</v>
      </c>
      <c r="CP19" s="86" t="str">
        <f>IF(ISBLANK(数据源!AW44),"",数据源!AW44)</f>
        <v/>
      </c>
      <c r="CQ19" s="86"/>
      <c r="CR19" s="86" t="str">
        <f>IF(ISBLANK(数据源!AX44),"",数据源!AX44)</f>
        <v/>
      </c>
      <c r="CS19" s="86" t="str">
        <f>IF(ISBLANK(数据源!AV44),"",数据源!AV44)</f>
        <v/>
      </c>
      <c r="CT19" s="86"/>
      <c r="CU19" s="87" t="s">
        <v>168</v>
      </c>
      <c r="CV19" s="86"/>
      <c r="CW19" s="86" t="str">
        <f>IF(ISBLANK(数据源!AU44),"",数据源!AU44)</f>
        <v/>
      </c>
      <c r="DA19" s="97">
        <f>IF(数据源!L44&lt;&gt;"QA",0,数据源!O44)</f>
        <v>0</v>
      </c>
      <c r="DB19" s="97">
        <f>数据源!M44</f>
        <v>0</v>
      </c>
      <c r="DC19" s="97">
        <f>数据源!N44</f>
        <v>0</v>
      </c>
      <c r="DD19" s="97">
        <f>IF(数据源!L44&lt;&gt;"QC",0,数据源!O44)</f>
        <v>0</v>
      </c>
    </row>
    <row r="20" spans="1:108">
      <c r="A20" s="1" t="str">
        <f>IF(数据源!K45="外检","#","")</f>
        <v/>
      </c>
      <c r="B20" s="2" t="str">
        <f>IF(ISBLANK(数据源!B45),"",数据源!B45)</f>
        <v/>
      </c>
      <c r="C20" s="2" t="str">
        <f>IF(ISBLANK(数据源!C45),"",IF(数据源!C45="/",数据源!F45,数据源!C45))</f>
        <v/>
      </c>
      <c r="D20" s="2" t="str">
        <f>IF(LEN(数据源!P45)=0,IF(LEN(数据源!D45)=0,"",数据源!D45),数据源!P45)</f>
        <v/>
      </c>
      <c r="E20" s="2"/>
      <c r="F20" s="2" t="str">
        <f>IF(ISBLANK(数据源!E45),"",数据源!E45)</f>
        <v/>
      </c>
      <c r="G20" s="2" t="str">
        <f>IF(ISBLANK(数据源!G45),"",IF(数据源!G45="A","合格","不合格"))</f>
        <v/>
      </c>
      <c r="H20" s="2" t="str">
        <f>IF(ISBLANK(数据源!H45),"",数据源!H45)</f>
        <v/>
      </c>
      <c r="I20" s="2" t="str">
        <f>IF(ISBLANK(数据源!J45),"",数据源!J45)</f>
        <v/>
      </c>
      <c r="J20" s="2" t="str">
        <f>IF(ISBLANK(数据源!L45),"",数据源!L45)</f>
        <v/>
      </c>
      <c r="K20" s="1" t="str">
        <f>IF(数据源!AD45="外检","#","")</f>
        <v/>
      </c>
      <c r="L20" s="2" t="str">
        <f>IF(ISBLANK(数据源!U45),"",数据源!U45)</f>
        <v/>
      </c>
      <c r="M20" s="2" t="str">
        <f>IF(ISBLANK(数据源!V45),"",IF(数据源!V45="/",数据源!Y45,数据源!V45))</f>
        <v/>
      </c>
      <c r="N20" s="2" t="str">
        <f>IF(LEN(数据源!AI45)=0,IF(LEN(数据源!W45)=0,"",数据源!W45),数据源!AI45)</f>
        <v/>
      </c>
      <c r="O20" s="1"/>
      <c r="P20" s="2" t="str">
        <f>IF(ISBLANK(数据源!X45),"",数据源!X45)</f>
        <v/>
      </c>
      <c r="Q20" s="2" t="str">
        <f>IF(ISBLANK(数据源!Z45),"",IF(数据源!Z45="A","合格","不合格"))</f>
        <v/>
      </c>
      <c r="R20" s="2" t="str">
        <f>IF(ISBLANK(数据源!AA45),"",数据源!AA45)</f>
        <v/>
      </c>
      <c r="S20" s="2" t="str">
        <f>IF(ISBLANK(数据源!AC45),"",数据源!AC45)</f>
        <v/>
      </c>
      <c r="T20" s="2" t="str">
        <f>IF(ISBLANK(数据源!AE45),"",数据源!AE45)</f>
        <v/>
      </c>
      <c r="Z20" t="s">
        <v>20</v>
      </c>
      <c r="AW20" s="1" t="str">
        <f>IF(数据源!K45="外检","#","")</f>
        <v/>
      </c>
      <c r="AX20" s="2" t="str">
        <f>IF(ISBLANK(数据源!Q45),"",数据源!Q45)</f>
        <v/>
      </c>
      <c r="AY20" s="2" t="str">
        <f>IF(ISBLANK(数据源!R45),"",数据源!R45)</f>
        <v/>
      </c>
      <c r="AZ20" s="2" t="str">
        <f>IF(LEN(数据源!P45)=0,IF(LEN(数据源!D45)=0,"",数据源!D45),数据源!P45)</f>
        <v/>
      </c>
      <c r="BA20" s="2"/>
      <c r="BB20" s="2" t="str">
        <f>IF(ISBLANK(数据源!E45),"",数据源!E45)</f>
        <v/>
      </c>
      <c r="BC20" s="2" t="str">
        <f>IF(ISBLANK(数据源!G45),"",IF(数据源!G45="A","Qualified","Unqualified"))</f>
        <v/>
      </c>
      <c r="BD20" s="2" t="str">
        <f>IF(ISBLANK(数据源!S45),"",数据源!S45)</f>
        <v/>
      </c>
      <c r="BE20" s="2" t="str">
        <f>IF(ISBLANK(数据源!J45),"",数据源!J45)</f>
        <v/>
      </c>
      <c r="BF20" s="2" t="str">
        <f>IF(ISBLANK(数据源!L45),"",数据源!L45)</f>
        <v/>
      </c>
      <c r="BG20" s="1" t="str">
        <f>IF(数据源!AD45="外检","#","")</f>
        <v/>
      </c>
      <c r="BH20" s="2" t="str">
        <f>IF(ISBLANK(数据源!AJ45),"",数据源!AJ45)</f>
        <v/>
      </c>
      <c r="BI20" s="2" t="str">
        <f>IF(ISBLANK(数据源!AK45),"",数据源!AK45)</f>
        <v/>
      </c>
      <c r="BJ20" s="2" t="str">
        <f>IF(LEN(数据源!AI45)=0,IF(LEN(数据源!W45)=0,"",数据源!W45),数据源!AI45)</f>
        <v/>
      </c>
      <c r="BK20" s="1"/>
      <c r="BL20" s="2" t="str">
        <f>IF(ISBLANK(数据源!X45),"",数据源!X45)</f>
        <v/>
      </c>
      <c r="BM20" s="2" t="str">
        <f>IF(ISBLANK(数据源!Z45),"",IF(数据源!Z45="A","Qualified","Unqualified"))</f>
        <v/>
      </c>
      <c r="BN20" s="2" t="str">
        <f>IF(ISBLANK(数据源!AL45),"",数据源!AL45)</f>
        <v/>
      </c>
      <c r="BO20" s="2" t="str">
        <f>IF(ISBLANK(数据源!AC45),"",数据源!AC45)</f>
        <v/>
      </c>
      <c r="BP20" s="2" t="str">
        <f>IF(ISBLANK(数据源!AE45),"",数据源!AE45)</f>
        <v/>
      </c>
      <c r="BV20" t="s">
        <v>20</v>
      </c>
      <c r="BW20" t="s">
        <v>20</v>
      </c>
      <c r="BX20" t="s">
        <v>20</v>
      </c>
      <c r="CP20" s="86" t="str">
        <f>IF(ISBLANK(数据源!AW45),"",数据源!AW45)</f>
        <v/>
      </c>
      <c r="CQ20" s="86"/>
      <c r="CR20" s="86" t="str">
        <f>IF(ISBLANK(数据源!AX45),"",数据源!AX45)</f>
        <v/>
      </c>
      <c r="CS20" s="86" t="str">
        <f>IF(ISBLANK(数据源!AV45),"",数据源!AV45)</f>
        <v/>
      </c>
      <c r="CT20" s="86"/>
      <c r="CU20" s="87" t="s">
        <v>168</v>
      </c>
      <c r="CV20" s="86"/>
      <c r="CW20" s="86" t="str">
        <f>IF(ISBLANK(数据源!AU45),"",数据源!AU45)</f>
        <v/>
      </c>
      <c r="DA20" s="97">
        <f>IF(数据源!L45&lt;&gt;"QA",0,数据源!O45)</f>
        <v>0</v>
      </c>
      <c r="DB20" s="97">
        <f>数据源!M45</f>
        <v>0</v>
      </c>
      <c r="DC20" s="97">
        <f>数据源!N45</f>
        <v>0</v>
      </c>
      <c r="DD20" s="97">
        <f>IF(数据源!L45&lt;&gt;"QC",0,数据源!O45)</f>
        <v>0</v>
      </c>
    </row>
    <row r="21" spans="1:108">
      <c r="A21" s="1" t="str">
        <f>IF(数据源!K46="外检","#","")</f>
        <v/>
      </c>
      <c r="B21" s="2" t="str">
        <f>IF(ISBLANK(数据源!B46),"",数据源!B46)</f>
        <v/>
      </c>
      <c r="C21" s="2" t="str">
        <f>IF(ISBLANK(数据源!C46),"",IF(数据源!C46="/",数据源!F46,数据源!C46))</f>
        <v/>
      </c>
      <c r="D21" s="2" t="str">
        <f>IF(LEN(数据源!P46)=0,IF(LEN(数据源!D46)=0,"",数据源!D46),数据源!P46)</f>
        <v/>
      </c>
      <c r="E21" s="2"/>
      <c r="F21" s="2" t="str">
        <f>IF(ISBLANK(数据源!E46),"",数据源!E46)</f>
        <v/>
      </c>
      <c r="G21" s="2" t="str">
        <f>IF(ISBLANK(数据源!G46),"",IF(数据源!G46="A","合格","不合格"))</f>
        <v/>
      </c>
      <c r="H21" s="2" t="str">
        <f>IF(ISBLANK(数据源!H46),"",数据源!H46)</f>
        <v/>
      </c>
      <c r="I21" s="2" t="str">
        <f>IF(ISBLANK(数据源!J46),"",数据源!J46)</f>
        <v/>
      </c>
      <c r="J21" s="2" t="str">
        <f>IF(ISBLANK(数据源!L46),"",数据源!L46)</f>
        <v/>
      </c>
      <c r="K21" s="1" t="str">
        <f>IF(数据源!AD46="外检","#","")</f>
        <v/>
      </c>
      <c r="L21" s="2" t="str">
        <f>IF(ISBLANK(数据源!U46),"",数据源!U46)</f>
        <v/>
      </c>
      <c r="M21" s="2" t="str">
        <f>IF(ISBLANK(数据源!V46),"",IF(数据源!V46="/",数据源!Y46,数据源!V46))</f>
        <v/>
      </c>
      <c r="N21" s="2" t="str">
        <f>IF(LEN(数据源!AI46)=0,IF(LEN(数据源!W46)=0,"",数据源!W46),数据源!AI46)</f>
        <v/>
      </c>
      <c r="O21" s="1"/>
      <c r="P21" s="2" t="str">
        <f>IF(ISBLANK(数据源!X46),"",数据源!X46)</f>
        <v/>
      </c>
      <c r="Q21" s="2" t="str">
        <f>IF(ISBLANK(数据源!Z46),"",IF(数据源!Z46="A","合格","不合格"))</f>
        <v/>
      </c>
      <c r="R21" s="2" t="str">
        <f>IF(ISBLANK(数据源!AA46),"",数据源!AA46)</f>
        <v/>
      </c>
      <c r="S21" s="2" t="str">
        <f>IF(ISBLANK(数据源!AC46),"",数据源!AC46)</f>
        <v/>
      </c>
      <c r="T21" s="2" t="str">
        <f>IF(ISBLANK(数据源!AE46),"",数据源!AE46)</f>
        <v/>
      </c>
      <c r="U21" s="62" t="s">
        <v>179</v>
      </c>
      <c r="V21" s="279">
        <f>IF(ISBLANK(数据源!G18),数据源!B18,IF(数据源!G18&lt;数据源!B18,数据源!G18,数据源!B18))</f>
        <v>0</v>
      </c>
      <c r="W21" t="str">
        <f>LEFT(V21,4)&amp;"/"&amp;MID(V21,5,2)&amp;"/"&amp;MID(V21,7,2)</f>
        <v>0//</v>
      </c>
      <c r="X21" t="str">
        <f>W21</f>
        <v>0//</v>
      </c>
      <c r="Z21" t="s">
        <v>20</v>
      </c>
      <c r="AW21" s="1" t="str">
        <f>IF(数据源!K46="外检","#","")</f>
        <v/>
      </c>
      <c r="AX21" s="2" t="str">
        <f>IF(ISBLANK(数据源!Q46),"",数据源!Q46)</f>
        <v/>
      </c>
      <c r="AY21" s="2" t="str">
        <f>IF(ISBLANK(数据源!R46),"",数据源!R46)</f>
        <v/>
      </c>
      <c r="AZ21" s="2" t="str">
        <f>IF(LEN(数据源!P46)=0,IF(LEN(数据源!D46)=0,"",数据源!D46),数据源!P46)</f>
        <v/>
      </c>
      <c r="BA21" s="2"/>
      <c r="BB21" s="2" t="str">
        <f>IF(ISBLANK(数据源!E46),"",数据源!E46)</f>
        <v/>
      </c>
      <c r="BC21" s="2" t="str">
        <f>IF(ISBLANK(数据源!G46),"",IF(数据源!G46="A","Qualified","Unqualified"))</f>
        <v/>
      </c>
      <c r="BD21" s="2" t="str">
        <f>IF(ISBLANK(数据源!S46),"",数据源!S46)</f>
        <v/>
      </c>
      <c r="BE21" s="2" t="str">
        <f>IF(ISBLANK(数据源!J46),"",数据源!J46)</f>
        <v/>
      </c>
      <c r="BF21" s="2" t="str">
        <f>IF(ISBLANK(数据源!L46),"",数据源!L46)</f>
        <v/>
      </c>
      <c r="BG21" s="1" t="str">
        <f>IF(数据源!AD46="外检","#","")</f>
        <v/>
      </c>
      <c r="BH21" s="2" t="str">
        <f>IF(ISBLANK(数据源!AJ46),"",数据源!AJ46)</f>
        <v/>
      </c>
      <c r="BI21" s="2" t="str">
        <f>IF(ISBLANK(数据源!AK46),"",数据源!AK46)</f>
        <v/>
      </c>
      <c r="BJ21" s="2" t="str">
        <f>IF(LEN(数据源!AI46)=0,IF(LEN(数据源!W46)=0,"",数据源!W46),数据源!AI46)</f>
        <v/>
      </c>
      <c r="BK21" s="1"/>
      <c r="BL21" s="2" t="str">
        <f>IF(ISBLANK(数据源!X46),"",数据源!X46)</f>
        <v/>
      </c>
      <c r="BM21" s="2" t="str">
        <f>IF(ISBLANK(数据源!Z46),"",IF(数据源!Z46="A","Qualified","Unqualified"))</f>
        <v/>
      </c>
      <c r="BN21" s="2" t="str">
        <f>IF(ISBLANK(数据源!AL46),"",数据源!AL46)</f>
        <v/>
      </c>
      <c r="BO21" s="2" t="str">
        <f>IF(ISBLANK(数据源!AC46),"",数据源!AC46)</f>
        <v/>
      </c>
      <c r="BP21" s="2" t="str">
        <f>IF(ISBLANK(数据源!AE46),"",数据源!AE46)</f>
        <v/>
      </c>
      <c r="BV21" t="s">
        <v>20</v>
      </c>
      <c r="BW21" t="s">
        <v>20</v>
      </c>
      <c r="BX21" t="s">
        <v>20</v>
      </c>
      <c r="CP21" s="86" t="str">
        <f>IF(ISBLANK(数据源!AW46),"",数据源!AW46)</f>
        <v/>
      </c>
      <c r="CQ21" s="86"/>
      <c r="CR21" s="86" t="str">
        <f>IF(ISBLANK(数据源!AX46),"",数据源!AX46)</f>
        <v/>
      </c>
      <c r="CS21" s="86" t="str">
        <f>IF(ISBLANK(数据源!AV46),"",数据源!AV46)</f>
        <v/>
      </c>
      <c r="CT21" s="86"/>
      <c r="CU21" s="87" t="s">
        <v>168</v>
      </c>
      <c r="CV21" s="86"/>
      <c r="CW21" s="86" t="str">
        <f>IF(ISBLANK(数据源!AU46),"",数据源!AU46)</f>
        <v/>
      </c>
      <c r="DA21" s="97">
        <f>IF(数据源!L46&lt;&gt;"QA",0,数据源!O46)</f>
        <v>0</v>
      </c>
      <c r="DB21" s="97">
        <f>数据源!M46</f>
        <v>0</v>
      </c>
      <c r="DC21" s="97">
        <f>数据源!N46</f>
        <v>0</v>
      </c>
      <c r="DD21" s="97">
        <f>IF(数据源!L46&lt;&gt;"QC",0,数据源!O46)</f>
        <v>0</v>
      </c>
    </row>
    <row r="22" spans="1:108">
      <c r="A22" s="1" t="str">
        <f>IF(数据源!K47="外检","#","")</f>
        <v/>
      </c>
      <c r="B22" s="2" t="str">
        <f>IF(ISBLANK(数据源!B47),"",数据源!B47)</f>
        <v/>
      </c>
      <c r="C22" s="2" t="str">
        <f>IF(ISBLANK(数据源!C47),"",IF(数据源!C47="/",数据源!F47,数据源!C47))</f>
        <v/>
      </c>
      <c r="D22" s="2" t="str">
        <f>IF(LEN(数据源!P47)=0,IF(LEN(数据源!D47)=0,"",数据源!D47),数据源!P47)</f>
        <v/>
      </c>
      <c r="E22" s="2"/>
      <c r="F22" s="2" t="str">
        <f>IF(ISBLANK(数据源!E47),"",数据源!E47)</f>
        <v/>
      </c>
      <c r="G22" s="2" t="str">
        <f>IF(ISBLANK(数据源!G47),"",IF(数据源!G47="A","合格","不合格"))</f>
        <v/>
      </c>
      <c r="H22" s="2" t="str">
        <f>IF(ISBLANK(数据源!H47),"",数据源!H47)</f>
        <v/>
      </c>
      <c r="I22" s="2" t="str">
        <f>IF(ISBLANK(数据源!J47),"",数据源!J47)</f>
        <v/>
      </c>
      <c r="J22" s="2" t="str">
        <f>IF(ISBLANK(数据源!L47),"",数据源!L47)</f>
        <v/>
      </c>
      <c r="K22" s="1" t="str">
        <f>IF(数据源!AD47="外检","#","")</f>
        <v/>
      </c>
      <c r="L22" s="2" t="str">
        <f>IF(ISBLANK(数据源!U47),"",数据源!U47)</f>
        <v/>
      </c>
      <c r="M22" s="2" t="str">
        <f>IF(ISBLANK(数据源!V47),"",IF(数据源!V47="/",数据源!Y47,数据源!V47))</f>
        <v/>
      </c>
      <c r="N22" s="2" t="str">
        <f>IF(LEN(数据源!AI47)=0,IF(LEN(数据源!W47)=0,"",数据源!W47),数据源!AI47)</f>
        <v/>
      </c>
      <c r="O22" s="1"/>
      <c r="P22" s="2" t="str">
        <f>IF(ISBLANK(数据源!X47),"",数据源!X47)</f>
        <v/>
      </c>
      <c r="Q22" s="2" t="str">
        <f>IF(ISBLANK(数据源!Z47),"",IF(数据源!Z47="A","合格","不合格"))</f>
        <v/>
      </c>
      <c r="R22" s="2" t="str">
        <f>IF(ISBLANK(数据源!AA47),"",数据源!AA47)</f>
        <v/>
      </c>
      <c r="S22" s="2" t="str">
        <f>IF(ISBLANK(数据源!AC47),"",数据源!AC47)</f>
        <v/>
      </c>
      <c r="T22" s="2" t="str">
        <f>IF(ISBLANK(数据源!AE47),"",数据源!AE47)</f>
        <v/>
      </c>
      <c r="U22" s="62" t="s">
        <v>180</v>
      </c>
      <c r="V22" s="217">
        <f>IF(ISBLANK(数据源!B19),数据源!G19,数据源!B19)</f>
        <v>0</v>
      </c>
      <c r="Z22" t="s">
        <v>20</v>
      </c>
      <c r="AW22" s="1" t="str">
        <f>IF(数据源!K47="外检","#","")</f>
        <v/>
      </c>
      <c r="AX22" s="2" t="str">
        <f>IF(ISBLANK(数据源!Q47),"",数据源!Q47)</f>
        <v/>
      </c>
      <c r="AY22" s="2" t="str">
        <f>IF(ISBLANK(数据源!R47),"",数据源!R47)</f>
        <v/>
      </c>
      <c r="AZ22" s="2" t="str">
        <f>IF(LEN(数据源!P47)=0,IF(LEN(数据源!D47)=0,"",数据源!D47),数据源!P47)</f>
        <v/>
      </c>
      <c r="BA22" s="2"/>
      <c r="BB22" s="2" t="str">
        <f>IF(ISBLANK(数据源!E47),"",数据源!E47)</f>
        <v/>
      </c>
      <c r="BC22" s="2" t="str">
        <f>IF(ISBLANK(数据源!G47),"",IF(数据源!G47="A","Qualified","Unqualified"))</f>
        <v/>
      </c>
      <c r="BD22" s="2" t="str">
        <f>IF(ISBLANK(数据源!S47),"",数据源!S47)</f>
        <v/>
      </c>
      <c r="BE22" s="2" t="str">
        <f>IF(ISBLANK(数据源!J47),"",数据源!J47)</f>
        <v/>
      </c>
      <c r="BF22" s="2" t="str">
        <f>IF(ISBLANK(数据源!L47),"",数据源!L47)</f>
        <v/>
      </c>
      <c r="BG22" s="1" t="str">
        <f>IF(数据源!AD47="外检","#","")</f>
        <v/>
      </c>
      <c r="BH22" s="2" t="str">
        <f>IF(ISBLANK(数据源!AJ47),"",数据源!AJ47)</f>
        <v/>
      </c>
      <c r="BI22" s="2" t="str">
        <f>IF(ISBLANK(数据源!AK47),"",数据源!AK47)</f>
        <v/>
      </c>
      <c r="BJ22" s="2" t="str">
        <f>IF(LEN(数据源!AI47)=0,IF(LEN(数据源!W47)=0,"",数据源!W47),数据源!AI47)</f>
        <v/>
      </c>
      <c r="BK22" s="1"/>
      <c r="BL22" s="2" t="str">
        <f>IF(ISBLANK(数据源!X47),"",数据源!X47)</f>
        <v/>
      </c>
      <c r="BM22" s="2" t="str">
        <f>IF(ISBLANK(数据源!Z47),"",IF(数据源!Z47="A","Qualified","Unqualified"))</f>
        <v/>
      </c>
      <c r="BN22" s="2" t="str">
        <f>IF(ISBLANK(数据源!AL47),"",数据源!AL47)</f>
        <v/>
      </c>
      <c r="BO22" s="2" t="str">
        <f>IF(ISBLANK(数据源!AC47),"",数据源!AC47)</f>
        <v/>
      </c>
      <c r="BP22" s="2" t="str">
        <f>IF(ISBLANK(数据源!AE47),"",数据源!AE47)</f>
        <v/>
      </c>
      <c r="BV22" t="s">
        <v>20</v>
      </c>
      <c r="BW22" t="s">
        <v>20</v>
      </c>
      <c r="BX22" t="s">
        <v>20</v>
      </c>
      <c r="CP22" s="86" t="str">
        <f>IF(ISBLANK(数据源!AW47),"",数据源!AW47)</f>
        <v/>
      </c>
      <c r="CQ22" s="86"/>
      <c r="CR22" s="86" t="str">
        <f>IF(ISBLANK(数据源!AX47),"",数据源!AX47)</f>
        <v/>
      </c>
      <c r="CS22" s="86" t="str">
        <f>IF(ISBLANK(数据源!AV47),"",数据源!AV47)</f>
        <v/>
      </c>
      <c r="CT22" s="86"/>
      <c r="CU22" s="87" t="s">
        <v>168</v>
      </c>
      <c r="CV22" s="86"/>
      <c r="CW22" s="86" t="str">
        <f>IF(ISBLANK(数据源!AU47),"",数据源!AU47)</f>
        <v/>
      </c>
      <c r="DA22" s="97">
        <f>IF(数据源!L47&lt;&gt;"QA",0,数据源!O47)</f>
        <v>0</v>
      </c>
      <c r="DB22" s="97">
        <f>数据源!M47</f>
        <v>0</v>
      </c>
      <c r="DC22" s="97">
        <f>数据源!N47</f>
        <v>0</v>
      </c>
      <c r="DD22" s="97">
        <f>IF(数据源!L47&lt;&gt;"QC",0,数据源!O47)</f>
        <v>0</v>
      </c>
    </row>
    <row r="23" spans="1:108">
      <c r="A23" s="1" t="str">
        <f>IF(数据源!K48="外检","#","")</f>
        <v/>
      </c>
      <c r="B23" s="2" t="str">
        <f>IF(ISBLANK(数据源!B48),"",数据源!B48)</f>
        <v/>
      </c>
      <c r="C23" s="2" t="str">
        <f>IF(ISBLANK(数据源!C48),"",IF(数据源!C48="/",数据源!F48,数据源!C48))</f>
        <v/>
      </c>
      <c r="D23" s="2" t="str">
        <f>IF(LEN(数据源!P48)=0,IF(LEN(数据源!D48)=0,"",数据源!D48),数据源!P48)</f>
        <v/>
      </c>
      <c r="E23" s="2"/>
      <c r="F23" s="2" t="str">
        <f>IF(ISBLANK(数据源!E48),"",数据源!E48)</f>
        <v/>
      </c>
      <c r="G23" s="2" t="str">
        <f>IF(ISBLANK(数据源!G48),"",IF(数据源!G48="A","合格","不合格"))</f>
        <v/>
      </c>
      <c r="H23" s="2" t="str">
        <f>IF(ISBLANK(数据源!H48),"",数据源!H48)</f>
        <v/>
      </c>
      <c r="I23" s="2" t="str">
        <f>IF(ISBLANK(数据源!J48),"",数据源!J48)</f>
        <v/>
      </c>
      <c r="J23" s="2" t="str">
        <f>IF(ISBLANK(数据源!L48),"",数据源!L48)</f>
        <v/>
      </c>
      <c r="K23" s="1" t="str">
        <f>IF(数据源!AD48="外检","#","")</f>
        <v/>
      </c>
      <c r="L23" s="2" t="str">
        <f>IF(ISBLANK(数据源!U48),"",数据源!U48)</f>
        <v/>
      </c>
      <c r="M23" s="2" t="str">
        <f>IF(ISBLANK(数据源!V48),"",IF(数据源!V48="/",数据源!Y48,数据源!V48))</f>
        <v/>
      </c>
      <c r="N23" s="2" t="str">
        <f>IF(LEN(数据源!AI48)=0,IF(LEN(数据源!W48)=0,"",数据源!W48),数据源!AI48)</f>
        <v/>
      </c>
      <c r="O23" s="1"/>
      <c r="P23" s="2" t="str">
        <f>IF(ISBLANK(数据源!X48),"",数据源!X48)</f>
        <v/>
      </c>
      <c r="Q23" s="2" t="str">
        <f>IF(ISBLANK(数据源!Z48),"",IF(数据源!Z48="A","合格","不合格"))</f>
        <v/>
      </c>
      <c r="R23" s="2" t="str">
        <f>IF(ISBLANK(数据源!AA48),"",数据源!AA48)</f>
        <v/>
      </c>
      <c r="S23" s="2" t="str">
        <f>IF(ISBLANK(数据源!AC48),"",数据源!AC48)</f>
        <v/>
      </c>
      <c r="T23" s="2" t="str">
        <f>IF(ISBLANK(数据源!AE48),"",数据源!AE48)</f>
        <v/>
      </c>
      <c r="U23" s="62" t="s">
        <v>181</v>
      </c>
      <c r="V23" s="217">
        <f>IF(ISBLANK(数据源!B20),数据源!G20,数据源!B20)</f>
        <v>0</v>
      </c>
      <c r="Z23" t="s">
        <v>20</v>
      </c>
      <c r="AW23" s="1" t="str">
        <f>IF(数据源!K48="外检","#","")</f>
        <v/>
      </c>
      <c r="AX23" s="2" t="str">
        <f>IF(ISBLANK(数据源!Q48),"",数据源!Q48)</f>
        <v/>
      </c>
      <c r="AY23" s="2" t="str">
        <f>IF(ISBLANK(数据源!R48),"",数据源!R48)</f>
        <v/>
      </c>
      <c r="AZ23" s="2" t="str">
        <f>IF(LEN(数据源!P48)=0,IF(LEN(数据源!D48)=0,"",数据源!D48),数据源!P48)</f>
        <v/>
      </c>
      <c r="BA23" s="2"/>
      <c r="BB23" s="2" t="str">
        <f>IF(ISBLANK(数据源!E48),"",数据源!E48)</f>
        <v/>
      </c>
      <c r="BC23" s="2" t="str">
        <f>IF(ISBLANK(数据源!G48),"",IF(数据源!G48="A","Qualified","Unqualified"))</f>
        <v/>
      </c>
      <c r="BD23" s="2" t="str">
        <f>IF(ISBLANK(数据源!S48),"",数据源!S48)</f>
        <v/>
      </c>
      <c r="BE23" s="2" t="str">
        <f>IF(ISBLANK(数据源!J48),"",数据源!J48)</f>
        <v/>
      </c>
      <c r="BF23" s="2" t="str">
        <f>IF(ISBLANK(数据源!L48),"",数据源!L48)</f>
        <v/>
      </c>
      <c r="BG23" s="1" t="str">
        <f>IF(数据源!AD48="外检","#","")</f>
        <v/>
      </c>
      <c r="BH23" s="2" t="str">
        <f>IF(ISBLANK(数据源!AJ48),"",数据源!AJ48)</f>
        <v/>
      </c>
      <c r="BI23" s="2" t="str">
        <f>IF(ISBLANK(数据源!AK48),"",数据源!AK48)</f>
        <v/>
      </c>
      <c r="BJ23" s="2" t="str">
        <f>IF(LEN(数据源!AI48)=0,IF(LEN(数据源!W48)=0,"",数据源!W48),数据源!AI48)</f>
        <v/>
      </c>
      <c r="BK23" s="1"/>
      <c r="BL23" s="2" t="str">
        <f>IF(ISBLANK(数据源!X48),"",数据源!X48)</f>
        <v/>
      </c>
      <c r="BM23" s="2" t="str">
        <f>IF(ISBLANK(数据源!Z48),"",IF(数据源!Z48="A","Qualified","Unqualified"))</f>
        <v/>
      </c>
      <c r="BN23" s="2" t="str">
        <f>IF(ISBLANK(数据源!AL48),"",数据源!AL48)</f>
        <v/>
      </c>
      <c r="BO23" s="2" t="str">
        <f>IF(ISBLANK(数据源!AC48),"",数据源!AC48)</f>
        <v/>
      </c>
      <c r="BP23" s="2" t="str">
        <f>IF(ISBLANK(数据源!AE48),"",数据源!AE48)</f>
        <v/>
      </c>
      <c r="BV23" t="s">
        <v>20</v>
      </c>
      <c r="BW23" t="s">
        <v>20</v>
      </c>
      <c r="BX23" t="s">
        <v>20</v>
      </c>
      <c r="CP23" s="86" t="str">
        <f>IF(ISBLANK(数据源!AW48),"",数据源!AW48)</f>
        <v/>
      </c>
      <c r="CQ23" s="86"/>
      <c r="CR23" s="86" t="str">
        <f>IF(ISBLANK(数据源!AX48),"",数据源!AX48)</f>
        <v/>
      </c>
      <c r="CS23" s="86" t="str">
        <f>IF(ISBLANK(数据源!AV48),"",数据源!AV48)</f>
        <v/>
      </c>
      <c r="CT23" s="86"/>
      <c r="CU23" s="87" t="s">
        <v>168</v>
      </c>
      <c r="CV23" s="86"/>
      <c r="CW23" s="86" t="str">
        <f>IF(ISBLANK(数据源!AU48),"",数据源!AU48)</f>
        <v/>
      </c>
      <c r="DA23" s="97">
        <f>IF(数据源!L48&lt;&gt;"QA",0,数据源!O48)</f>
        <v>0</v>
      </c>
      <c r="DB23" s="97">
        <f>数据源!M48</f>
        <v>0</v>
      </c>
      <c r="DC23" s="97">
        <f>数据源!N48</f>
        <v>0</v>
      </c>
      <c r="DD23" s="97">
        <f>IF(数据源!L48&lt;&gt;"QC",0,数据源!O48)</f>
        <v>0</v>
      </c>
    </row>
    <row r="24" spans="1:108">
      <c r="A24" s="1" t="str">
        <f>IF(数据源!K49="外检","#","")</f>
        <v/>
      </c>
      <c r="B24" s="2" t="str">
        <f>IF(ISBLANK(数据源!B49),"",数据源!B49)</f>
        <v/>
      </c>
      <c r="C24" s="2" t="str">
        <f>IF(ISBLANK(数据源!C49),"",IF(数据源!C49="/",数据源!F49,数据源!C49))</f>
        <v/>
      </c>
      <c r="D24" s="2" t="str">
        <f>IF(LEN(数据源!P49)=0,IF(LEN(数据源!D49)=0,"",数据源!D49),数据源!P49)</f>
        <v/>
      </c>
      <c r="E24" s="2"/>
      <c r="F24" s="2" t="str">
        <f>IF(ISBLANK(数据源!E49),"",数据源!E49)</f>
        <v/>
      </c>
      <c r="G24" s="2" t="str">
        <f>IF(ISBLANK(数据源!G49),"",IF(数据源!G49="A","合格","不合格"))</f>
        <v/>
      </c>
      <c r="H24" s="2" t="str">
        <f>IF(ISBLANK(数据源!H49),"",数据源!H49)</f>
        <v/>
      </c>
      <c r="I24" s="2" t="str">
        <f>IF(ISBLANK(数据源!J49),"",数据源!J49)</f>
        <v/>
      </c>
      <c r="J24" s="2" t="str">
        <f>IF(ISBLANK(数据源!L49),"",数据源!L49)</f>
        <v/>
      </c>
      <c r="K24" s="1" t="str">
        <f>IF(数据源!AD49="外检","#","")</f>
        <v/>
      </c>
      <c r="L24" s="2" t="str">
        <f>IF(ISBLANK(数据源!U49),"",数据源!U49)</f>
        <v/>
      </c>
      <c r="M24" s="2" t="str">
        <f>IF(ISBLANK(数据源!V49),"",IF(数据源!V49="/",数据源!Y49,数据源!V49))</f>
        <v/>
      </c>
      <c r="N24" s="2" t="str">
        <f>IF(LEN(数据源!AI49)=0,IF(LEN(数据源!W49)=0,"",数据源!W49),数据源!AI49)</f>
        <v/>
      </c>
      <c r="O24" s="1"/>
      <c r="P24" s="2" t="str">
        <f>IF(ISBLANK(数据源!X49),"",数据源!X49)</f>
        <v/>
      </c>
      <c r="Q24" s="2" t="str">
        <f>IF(ISBLANK(数据源!Z49),"",IF(数据源!Z49="A","合格","不合格"))</f>
        <v/>
      </c>
      <c r="R24" s="2" t="str">
        <f>IF(ISBLANK(数据源!AA49),"",数据源!AA49)</f>
        <v/>
      </c>
      <c r="S24" s="2" t="str">
        <f>IF(ISBLANK(数据源!AC49),"",数据源!AC49)</f>
        <v/>
      </c>
      <c r="T24" s="2" t="str">
        <f>IF(ISBLANK(数据源!AE49),"",数据源!AE49)</f>
        <v/>
      </c>
      <c r="U24" s="62" t="s">
        <v>121</v>
      </c>
      <c r="V24" s="217">
        <f>IF(ISBLANK(数据源!B21),数据源!G21,数据源!B21)</f>
        <v>0</v>
      </c>
      <c r="Z24" t="s">
        <v>20</v>
      </c>
      <c r="AW24" s="1" t="str">
        <f>IF(数据源!K49="外检","#","")</f>
        <v/>
      </c>
      <c r="AX24" s="2" t="str">
        <f>IF(ISBLANK(数据源!Q49),"",数据源!Q49)</f>
        <v/>
      </c>
      <c r="AY24" s="2" t="str">
        <f>IF(ISBLANK(数据源!R49),"",数据源!R49)</f>
        <v/>
      </c>
      <c r="AZ24" s="2" t="str">
        <f>IF(LEN(数据源!P49)=0,IF(LEN(数据源!D49)=0,"",数据源!D49),数据源!P49)</f>
        <v/>
      </c>
      <c r="BA24" s="2"/>
      <c r="BB24" s="2" t="str">
        <f>IF(ISBLANK(数据源!E49),"",数据源!E49)</f>
        <v/>
      </c>
      <c r="BC24" s="2" t="str">
        <f>IF(ISBLANK(数据源!G49),"",IF(数据源!G49="A","Qualified","Unqualified"))</f>
        <v/>
      </c>
      <c r="BD24" s="2" t="str">
        <f>IF(ISBLANK(数据源!S49),"",数据源!S49)</f>
        <v/>
      </c>
      <c r="BE24" s="2" t="str">
        <f>IF(ISBLANK(数据源!J49),"",数据源!J49)</f>
        <v/>
      </c>
      <c r="BF24" s="2" t="str">
        <f>IF(ISBLANK(数据源!L49),"",数据源!L49)</f>
        <v/>
      </c>
      <c r="BG24" s="1" t="str">
        <f>IF(数据源!AD49="外检","#","")</f>
        <v/>
      </c>
      <c r="BH24" s="2" t="str">
        <f>IF(ISBLANK(数据源!AJ49),"",数据源!AJ49)</f>
        <v/>
      </c>
      <c r="BI24" s="2" t="str">
        <f>IF(ISBLANK(数据源!AK49),"",数据源!AK49)</f>
        <v/>
      </c>
      <c r="BJ24" s="2" t="str">
        <f>IF(LEN(数据源!AI49)=0,IF(LEN(数据源!W49)=0,"",数据源!W49),数据源!AI49)</f>
        <v/>
      </c>
      <c r="BK24" s="1"/>
      <c r="BL24" s="2" t="str">
        <f>IF(ISBLANK(数据源!X49),"",数据源!X49)</f>
        <v/>
      </c>
      <c r="BM24" s="2" t="str">
        <f>IF(ISBLANK(数据源!Z49),"",IF(数据源!Z49="A","Qualified","Unqualified"))</f>
        <v/>
      </c>
      <c r="BN24" s="2" t="str">
        <f>IF(ISBLANK(数据源!AL49),"",数据源!AL49)</f>
        <v/>
      </c>
      <c r="BO24" s="2" t="str">
        <f>IF(ISBLANK(数据源!AC49),"",数据源!AC49)</f>
        <v/>
      </c>
      <c r="BP24" s="2" t="str">
        <f>IF(ISBLANK(数据源!AE49),"",数据源!AE49)</f>
        <v/>
      </c>
      <c r="BV24" t="s">
        <v>20</v>
      </c>
      <c r="BW24" t="s">
        <v>20</v>
      </c>
      <c r="BX24" t="s">
        <v>20</v>
      </c>
      <c r="CP24" s="86" t="str">
        <f>IF(ISBLANK(数据源!AW49),"",数据源!AW49)</f>
        <v/>
      </c>
      <c r="CQ24" s="86"/>
      <c r="CR24" s="86" t="str">
        <f>IF(ISBLANK(数据源!AX49),"",数据源!AX49)</f>
        <v/>
      </c>
      <c r="CS24" s="86" t="str">
        <f>IF(ISBLANK(数据源!AV49),"",数据源!AV49)</f>
        <v/>
      </c>
      <c r="CT24" s="86"/>
      <c r="CU24" s="87" t="s">
        <v>168</v>
      </c>
      <c r="CV24" s="86"/>
      <c r="CW24" s="86" t="str">
        <f>IF(ISBLANK(数据源!AU49),"",数据源!AU49)</f>
        <v/>
      </c>
      <c r="DA24" s="97">
        <f>IF(数据源!L49&lt;&gt;"QA",0,数据源!O49)</f>
        <v>0</v>
      </c>
      <c r="DB24" s="97">
        <f>数据源!M49</f>
        <v>0</v>
      </c>
      <c r="DC24" s="97">
        <f>数据源!N49</f>
        <v>0</v>
      </c>
      <c r="DD24" s="97">
        <f>IF(数据源!L49&lt;&gt;"QC",0,数据源!O49)</f>
        <v>0</v>
      </c>
    </row>
    <row r="25" spans="1:108">
      <c r="A25" s="1" t="str">
        <f>IF(数据源!K50="外检","#","")</f>
        <v/>
      </c>
      <c r="B25" s="2" t="str">
        <f>IF(ISBLANK(数据源!B50),"",数据源!B50)</f>
        <v/>
      </c>
      <c r="C25" s="2" t="str">
        <f>IF(ISBLANK(数据源!C50),"",IF(数据源!C50="/",数据源!F50,数据源!C50))</f>
        <v/>
      </c>
      <c r="D25" s="2" t="str">
        <f>IF(LEN(数据源!P50)=0,IF(LEN(数据源!D50)=0,"",数据源!D50),数据源!P50)</f>
        <v/>
      </c>
      <c r="E25" s="2"/>
      <c r="F25" s="2" t="str">
        <f>IF(ISBLANK(数据源!E50),"",数据源!E50)</f>
        <v/>
      </c>
      <c r="G25" s="2" t="str">
        <f>IF(ISBLANK(数据源!G50),"",IF(数据源!G50="A","合格","不合格"))</f>
        <v/>
      </c>
      <c r="H25" s="2" t="str">
        <f>IF(ISBLANK(数据源!H50),"",数据源!H50)</f>
        <v/>
      </c>
      <c r="I25" s="2" t="str">
        <f>IF(ISBLANK(数据源!J50),"",数据源!J50)</f>
        <v/>
      </c>
      <c r="J25" s="2" t="str">
        <f>IF(ISBLANK(数据源!L50),"",数据源!L50)</f>
        <v/>
      </c>
      <c r="K25" s="1" t="str">
        <f>IF(数据源!AD50="外检","#","")</f>
        <v/>
      </c>
      <c r="L25" s="2" t="str">
        <f>IF(ISBLANK(数据源!U50),"",数据源!U50)</f>
        <v/>
      </c>
      <c r="M25" s="2" t="str">
        <f>IF(ISBLANK(数据源!V50),"",IF(数据源!V50="/",数据源!Y50,数据源!V50))</f>
        <v/>
      </c>
      <c r="N25" s="2" t="str">
        <f>IF(LEN(数据源!AI50)=0,IF(LEN(数据源!W50)=0,"",数据源!W50),数据源!AI50)</f>
        <v/>
      </c>
      <c r="O25" s="1"/>
      <c r="P25" s="2" t="str">
        <f>IF(ISBLANK(数据源!X50),"",数据源!X50)</f>
        <v/>
      </c>
      <c r="Q25" s="2" t="str">
        <f>IF(ISBLANK(数据源!Z50),"",IF(数据源!Z50="A","合格","不合格"))</f>
        <v/>
      </c>
      <c r="R25" s="2" t="str">
        <f>IF(ISBLANK(数据源!AA50),"",数据源!AA50)</f>
        <v/>
      </c>
      <c r="S25" s="2" t="str">
        <f>IF(ISBLANK(数据源!AC50),"",数据源!AC50)</f>
        <v/>
      </c>
      <c r="T25" s="2" t="str">
        <f>IF(ISBLANK(数据源!AE50),"",数据源!AE50)</f>
        <v/>
      </c>
      <c r="U25" s="62"/>
      <c r="Z25" t="s">
        <v>20</v>
      </c>
      <c r="AW25" s="1" t="str">
        <f>IF(数据源!K50="外检","#","")</f>
        <v/>
      </c>
      <c r="AX25" s="2" t="str">
        <f>IF(ISBLANK(数据源!Q50),"",数据源!Q50)</f>
        <v/>
      </c>
      <c r="AY25" s="2" t="str">
        <f>IF(ISBLANK(数据源!R50),"",数据源!R50)</f>
        <v/>
      </c>
      <c r="AZ25" s="2" t="str">
        <f>IF(LEN(数据源!P50)=0,IF(LEN(数据源!D50)=0,"",数据源!D50),数据源!P50)</f>
        <v/>
      </c>
      <c r="BA25" s="2"/>
      <c r="BB25" s="2" t="str">
        <f>IF(ISBLANK(数据源!E50),"",数据源!E50)</f>
        <v/>
      </c>
      <c r="BC25" s="2" t="str">
        <f>IF(ISBLANK(数据源!G50),"",IF(数据源!G50="A","Qualified","Unqualified"))</f>
        <v/>
      </c>
      <c r="BD25" s="2" t="str">
        <f>IF(ISBLANK(数据源!S50),"",数据源!S50)</f>
        <v/>
      </c>
      <c r="BE25" s="2" t="str">
        <f>IF(ISBLANK(数据源!J50),"",数据源!J50)</f>
        <v/>
      </c>
      <c r="BF25" s="2" t="str">
        <f>IF(ISBLANK(数据源!L50),"",数据源!L50)</f>
        <v/>
      </c>
      <c r="BG25" s="1" t="str">
        <f>IF(数据源!AD50="外检","#","")</f>
        <v/>
      </c>
      <c r="BH25" s="2" t="str">
        <f>IF(ISBLANK(数据源!AJ50),"",数据源!AJ50)</f>
        <v/>
      </c>
      <c r="BI25" s="2" t="str">
        <f>IF(ISBLANK(数据源!AK50),"",数据源!AK50)</f>
        <v/>
      </c>
      <c r="BJ25" s="2" t="str">
        <f>IF(LEN(数据源!AI50)=0,IF(LEN(数据源!W50)=0,"",数据源!W50),数据源!AI50)</f>
        <v/>
      </c>
      <c r="BK25" s="1"/>
      <c r="BL25" s="2" t="str">
        <f>IF(ISBLANK(数据源!X50),"",数据源!X50)</f>
        <v/>
      </c>
      <c r="BM25" s="2" t="str">
        <f>IF(ISBLANK(数据源!Z50),"",IF(数据源!Z50="A","Qualified","Unqualified"))</f>
        <v/>
      </c>
      <c r="BN25" s="2" t="str">
        <f>IF(ISBLANK(数据源!AL50),"",数据源!AL50)</f>
        <v/>
      </c>
      <c r="BO25" s="2" t="str">
        <f>IF(ISBLANK(数据源!AC50),"",数据源!AC50)</f>
        <v/>
      </c>
      <c r="BP25" s="2" t="str">
        <f>IF(ISBLANK(数据源!AE50),"",数据源!AE50)</f>
        <v/>
      </c>
      <c r="BV25" t="s">
        <v>20</v>
      </c>
      <c r="BW25" t="s">
        <v>20</v>
      </c>
      <c r="BX25" t="s">
        <v>20</v>
      </c>
      <c r="CP25" s="86" t="str">
        <f>IF(ISBLANK(数据源!AW50),"",数据源!AW50)</f>
        <v/>
      </c>
      <c r="CQ25" s="86"/>
      <c r="CR25" s="86" t="str">
        <f>IF(ISBLANK(数据源!AX50),"",数据源!AX50)</f>
        <v/>
      </c>
      <c r="CS25" s="86" t="str">
        <f>IF(ISBLANK(数据源!AV50),"",数据源!AV50)</f>
        <v/>
      </c>
      <c r="CT25" s="86"/>
      <c r="CU25" s="87" t="s">
        <v>168</v>
      </c>
      <c r="CV25" s="86"/>
      <c r="CW25" s="86" t="str">
        <f>IF(ISBLANK(数据源!AU50),"",数据源!AU50)</f>
        <v/>
      </c>
      <c r="DA25" s="97">
        <f>IF(数据源!L50&lt;&gt;"QA",0,数据源!O50)</f>
        <v>0</v>
      </c>
      <c r="DB25" s="97">
        <f>数据源!M50</f>
        <v>0</v>
      </c>
      <c r="DC25" s="97">
        <f>数据源!N50</f>
        <v>0</v>
      </c>
      <c r="DD25" s="97">
        <f>IF(数据源!L50&lt;&gt;"QC",0,数据源!O50)</f>
        <v>0</v>
      </c>
    </row>
    <row r="26" spans="1:108">
      <c r="A26" s="1" t="str">
        <f>IF(数据源!K51="外检","#","")</f>
        <v/>
      </c>
      <c r="B26" s="2" t="str">
        <f>IF(ISBLANK(数据源!B51),"",数据源!B51)</f>
        <v/>
      </c>
      <c r="C26" s="2" t="str">
        <f>IF(ISBLANK(数据源!C51),"",IF(数据源!C51="/",数据源!F51,数据源!C51))</f>
        <v/>
      </c>
      <c r="D26" s="2" t="str">
        <f>IF(LEN(数据源!P51)=0,IF(LEN(数据源!D51)=0,"",数据源!D51),数据源!P51)</f>
        <v/>
      </c>
      <c r="E26" s="2"/>
      <c r="F26" s="2" t="str">
        <f>IF(ISBLANK(数据源!E51),"",数据源!E51)</f>
        <v/>
      </c>
      <c r="G26" s="2" t="str">
        <f>IF(ISBLANK(数据源!G51),"",IF(数据源!G51="A","合格","不合格"))</f>
        <v/>
      </c>
      <c r="H26" s="2" t="str">
        <f>IF(ISBLANK(数据源!H51),"",数据源!H51)</f>
        <v/>
      </c>
      <c r="I26" s="2" t="str">
        <f>IF(ISBLANK(数据源!J51),"",数据源!J51)</f>
        <v/>
      </c>
      <c r="J26" s="2" t="str">
        <f>IF(ISBLANK(数据源!L51),"",数据源!L51)</f>
        <v/>
      </c>
      <c r="K26" s="1" t="str">
        <f>IF(数据源!AD51="外检","#","")</f>
        <v/>
      </c>
      <c r="L26" s="2" t="str">
        <f>IF(ISBLANK(数据源!U51),"",数据源!U51)</f>
        <v/>
      </c>
      <c r="M26" s="2" t="str">
        <f>IF(ISBLANK(数据源!V51),"",IF(数据源!V51="/",数据源!Y51,数据源!V51))</f>
        <v/>
      </c>
      <c r="N26" s="2" t="str">
        <f>IF(LEN(数据源!AI51)=0,IF(LEN(数据源!W51)=0,"",数据源!W51),数据源!AI51)</f>
        <v/>
      </c>
      <c r="O26" s="1"/>
      <c r="P26" s="2" t="str">
        <f>IF(ISBLANK(数据源!X51),"",数据源!X51)</f>
        <v/>
      </c>
      <c r="Q26" s="2" t="str">
        <f>IF(ISBLANK(数据源!Z51),"",IF(数据源!Z51="A","合格","不合格"))</f>
        <v/>
      </c>
      <c r="R26" s="2" t="str">
        <f>IF(ISBLANK(数据源!AA51),"",数据源!AA51)</f>
        <v/>
      </c>
      <c r="S26" s="2" t="str">
        <f>IF(ISBLANK(数据源!AC51),"",数据源!AC51)</f>
        <v/>
      </c>
      <c r="T26" s="2" t="str">
        <f>IF(ISBLANK(数据源!AE51),"",数据源!AE51)</f>
        <v/>
      </c>
      <c r="U26" s="65" t="s">
        <v>302</v>
      </c>
      <c r="V26" s="217">
        <f>数据源!B19+数据源!G19</f>
        <v>0</v>
      </c>
      <c r="Z26" t="s">
        <v>20</v>
      </c>
      <c r="AW26" s="1" t="str">
        <f>IF(数据源!K51="外检","#","")</f>
        <v/>
      </c>
      <c r="AX26" s="2" t="str">
        <f>IF(ISBLANK(数据源!Q51),"",数据源!Q51)</f>
        <v/>
      </c>
      <c r="AY26" s="2" t="str">
        <f>IF(ISBLANK(数据源!R51),"",数据源!R51)</f>
        <v/>
      </c>
      <c r="AZ26" s="2" t="str">
        <f>IF(LEN(数据源!P51)=0,IF(LEN(数据源!D51)=0,"",数据源!D51),数据源!P51)</f>
        <v/>
      </c>
      <c r="BA26" s="2"/>
      <c r="BB26" s="2" t="str">
        <f>IF(ISBLANK(数据源!E51),"",数据源!E51)</f>
        <v/>
      </c>
      <c r="BC26" s="2" t="str">
        <f>IF(ISBLANK(数据源!G51),"",IF(数据源!G51="A","Qualified","Unqualified"))</f>
        <v/>
      </c>
      <c r="BD26" s="2" t="str">
        <f>IF(ISBLANK(数据源!S51),"",数据源!S51)</f>
        <v/>
      </c>
      <c r="BE26" s="2" t="str">
        <f>IF(ISBLANK(数据源!J51),"",数据源!J51)</f>
        <v/>
      </c>
      <c r="BF26" s="2" t="str">
        <f>IF(ISBLANK(数据源!L51),"",数据源!L51)</f>
        <v/>
      </c>
      <c r="BG26" s="1" t="str">
        <f>IF(数据源!AD51="外检","#","")</f>
        <v/>
      </c>
      <c r="BH26" s="2" t="str">
        <f>IF(ISBLANK(数据源!AJ51),"",数据源!AJ51)</f>
        <v/>
      </c>
      <c r="BI26" s="2" t="str">
        <f>IF(ISBLANK(数据源!AK51),"",数据源!AK51)</f>
        <v/>
      </c>
      <c r="BJ26" s="2" t="str">
        <f>IF(LEN(数据源!AI51)=0,IF(LEN(数据源!W51)=0,"",数据源!W51),数据源!AI51)</f>
        <v/>
      </c>
      <c r="BK26" s="1"/>
      <c r="BL26" s="2" t="str">
        <f>IF(ISBLANK(数据源!X51),"",数据源!X51)</f>
        <v/>
      </c>
      <c r="BM26" s="2" t="str">
        <f>IF(ISBLANK(数据源!Z51),"",IF(数据源!Z51="A","Qualified","Unqualified"))</f>
        <v/>
      </c>
      <c r="BN26" s="2" t="str">
        <f>IF(ISBLANK(数据源!AL51),"",数据源!AL51)</f>
        <v/>
      </c>
      <c r="BO26" s="2" t="str">
        <f>IF(ISBLANK(数据源!AC51),"",数据源!AC51)</f>
        <v/>
      </c>
      <c r="BP26" s="2" t="str">
        <f>IF(ISBLANK(数据源!AE51),"",数据源!AE51)</f>
        <v/>
      </c>
      <c r="BV26" t="s">
        <v>20</v>
      </c>
      <c r="BW26" t="s">
        <v>20</v>
      </c>
      <c r="BX26" t="s">
        <v>20</v>
      </c>
      <c r="CP26" s="86" t="str">
        <f>IF(ISBLANK(数据源!AW51),"",数据源!AW51)</f>
        <v/>
      </c>
      <c r="CQ26" s="86"/>
      <c r="CR26" s="86" t="str">
        <f>IF(ISBLANK(数据源!AX51),"",数据源!AX51)</f>
        <v/>
      </c>
      <c r="CS26" s="86" t="str">
        <f>IF(ISBLANK(数据源!AV51),"",数据源!AV51)</f>
        <v/>
      </c>
      <c r="CT26" s="86"/>
      <c r="CU26" s="87" t="s">
        <v>168</v>
      </c>
      <c r="CV26" s="86"/>
      <c r="CW26" s="86" t="str">
        <f>IF(ISBLANK(数据源!AU51),"",数据源!AU51)</f>
        <v/>
      </c>
      <c r="DA26" s="97">
        <f>IF(数据源!L51&lt;&gt;"QA",0,数据源!O51)</f>
        <v>0</v>
      </c>
      <c r="DB26" s="97">
        <f>数据源!M51</f>
        <v>0</v>
      </c>
      <c r="DC26" s="97">
        <f>数据源!N51</f>
        <v>0</v>
      </c>
      <c r="DD26" s="97">
        <f>IF(数据源!L51&lt;&gt;"QC",0,数据源!O51)</f>
        <v>0</v>
      </c>
    </row>
    <row r="27" spans="1:108">
      <c r="A27" s="1" t="str">
        <f>IF(数据源!K52="外检","#","")</f>
        <v/>
      </c>
      <c r="B27" s="2" t="str">
        <f>IF(ISBLANK(数据源!B52),"",数据源!B52)</f>
        <v/>
      </c>
      <c r="C27" s="2" t="str">
        <f>IF(ISBLANK(数据源!C52),"",IF(数据源!C52="/",数据源!F52,数据源!C52))</f>
        <v/>
      </c>
      <c r="D27" s="2" t="str">
        <f>IF(LEN(数据源!P52)=0,IF(LEN(数据源!D52)=0,"",数据源!D52),数据源!P52)</f>
        <v/>
      </c>
      <c r="E27" s="2"/>
      <c r="F27" s="2" t="str">
        <f>IF(ISBLANK(数据源!E52),"",数据源!E52)</f>
        <v/>
      </c>
      <c r="G27" s="2" t="str">
        <f>IF(ISBLANK(数据源!G52),"",IF(数据源!G52="A","合格","不合格"))</f>
        <v/>
      </c>
      <c r="H27" s="2" t="str">
        <f>IF(ISBLANK(数据源!H52),"",数据源!H52)</f>
        <v/>
      </c>
      <c r="I27" s="2" t="str">
        <f>IF(ISBLANK(数据源!J52),"",数据源!J52)</f>
        <v/>
      </c>
      <c r="J27" s="2" t="str">
        <f>IF(ISBLANK(数据源!L52),"",数据源!L52)</f>
        <v/>
      </c>
      <c r="K27" s="1" t="str">
        <f>IF(数据源!AD52="外检","#","")</f>
        <v/>
      </c>
      <c r="L27" s="2" t="str">
        <f>IF(ISBLANK(数据源!U52),"",数据源!U52)</f>
        <v/>
      </c>
      <c r="M27" s="2" t="str">
        <f>IF(ISBLANK(数据源!V52),"",IF(数据源!V52="/",数据源!Y52,数据源!V52))</f>
        <v/>
      </c>
      <c r="N27" s="2" t="str">
        <f>IF(LEN(数据源!AI52)=0,IF(LEN(数据源!W52)=0,"",数据源!W52),数据源!AI52)</f>
        <v/>
      </c>
      <c r="O27" s="1"/>
      <c r="P27" s="2" t="str">
        <f>IF(ISBLANK(数据源!X52),"",数据源!X52)</f>
        <v/>
      </c>
      <c r="Q27" s="2" t="str">
        <f>IF(ISBLANK(数据源!Z52),"",IF(数据源!Z52="A","合格","不合格"))</f>
        <v/>
      </c>
      <c r="R27" s="2" t="str">
        <f>IF(ISBLANK(数据源!AA52),"",数据源!AA52)</f>
        <v/>
      </c>
      <c r="S27" s="2" t="str">
        <f>IF(ISBLANK(数据源!AC52),"",数据源!AC52)</f>
        <v/>
      </c>
      <c r="T27" s="2" t="str">
        <f>IF(ISBLANK(数据源!AE52),"",数据源!AE52)</f>
        <v/>
      </c>
      <c r="Z27" t="s">
        <v>20</v>
      </c>
      <c r="AW27" s="1" t="str">
        <f>IF(数据源!K52="外检","#","")</f>
        <v/>
      </c>
      <c r="AX27" s="2" t="str">
        <f>IF(ISBLANK(数据源!Q52),"",数据源!Q52)</f>
        <v/>
      </c>
      <c r="AY27" s="2" t="str">
        <f>IF(ISBLANK(数据源!R52),"",数据源!R52)</f>
        <v/>
      </c>
      <c r="AZ27" s="2" t="str">
        <f>IF(LEN(数据源!P52)=0,IF(LEN(数据源!D52)=0,"",数据源!D52),数据源!P52)</f>
        <v/>
      </c>
      <c r="BA27" s="2"/>
      <c r="BB27" s="2" t="str">
        <f>IF(ISBLANK(数据源!E52),"",数据源!E52)</f>
        <v/>
      </c>
      <c r="BC27" s="2" t="str">
        <f>IF(ISBLANK(数据源!G52),"",IF(数据源!G52="A","Qualified","Unqualified"))</f>
        <v/>
      </c>
      <c r="BD27" s="2" t="str">
        <f>IF(ISBLANK(数据源!S52),"",数据源!S52)</f>
        <v/>
      </c>
      <c r="BE27" s="2" t="str">
        <f>IF(ISBLANK(数据源!J52),"",数据源!J52)</f>
        <v/>
      </c>
      <c r="BF27" s="2" t="str">
        <f>IF(ISBLANK(数据源!L52),"",数据源!L52)</f>
        <v/>
      </c>
      <c r="BG27" s="1" t="str">
        <f>IF(数据源!AD52="外检","#","")</f>
        <v/>
      </c>
      <c r="BH27" s="2" t="str">
        <f>IF(ISBLANK(数据源!AJ52),"",数据源!AJ52)</f>
        <v/>
      </c>
      <c r="BI27" s="2" t="str">
        <f>IF(ISBLANK(数据源!AK52),"",数据源!AK52)</f>
        <v/>
      </c>
      <c r="BJ27" s="2" t="str">
        <f>IF(LEN(数据源!AI52)=0,IF(LEN(数据源!W52)=0,"",数据源!W52),数据源!AI52)</f>
        <v/>
      </c>
      <c r="BK27" s="1"/>
      <c r="BL27" s="2" t="str">
        <f>IF(ISBLANK(数据源!X52),"",数据源!X52)</f>
        <v/>
      </c>
      <c r="BM27" s="2" t="str">
        <f>IF(ISBLANK(数据源!Z52),"",IF(数据源!Z52="A","Qualified","Unqualified"))</f>
        <v/>
      </c>
      <c r="BN27" s="2" t="str">
        <f>IF(ISBLANK(数据源!AL52),"",数据源!AL52)</f>
        <v/>
      </c>
      <c r="BO27" s="2" t="str">
        <f>IF(ISBLANK(数据源!AC52),"",数据源!AC52)</f>
        <v/>
      </c>
      <c r="BP27" s="2" t="str">
        <f>IF(ISBLANK(数据源!AE52),"",数据源!AE52)</f>
        <v/>
      </c>
      <c r="BV27" t="s">
        <v>20</v>
      </c>
      <c r="BW27" t="s">
        <v>20</v>
      </c>
      <c r="BX27" t="s">
        <v>20</v>
      </c>
      <c r="CP27" s="86" t="str">
        <f>IF(ISBLANK(数据源!AW52),"",数据源!AW52)</f>
        <v/>
      </c>
      <c r="CQ27" s="86"/>
      <c r="CR27" s="86" t="str">
        <f>IF(ISBLANK(数据源!AX52),"",数据源!AX52)</f>
        <v/>
      </c>
      <c r="CS27" s="86" t="str">
        <f>IF(ISBLANK(数据源!AV52),"",数据源!AV52)</f>
        <v/>
      </c>
      <c r="CT27" s="86"/>
      <c r="CU27" s="87" t="s">
        <v>168</v>
      </c>
      <c r="CV27" s="86"/>
      <c r="CW27" s="86" t="str">
        <f>IF(ISBLANK(数据源!AU52),"",数据源!AU52)</f>
        <v/>
      </c>
      <c r="DA27" s="97">
        <f>IF(数据源!L52&lt;&gt;"QA",0,数据源!O52)</f>
        <v>0</v>
      </c>
      <c r="DB27" s="97">
        <f>数据源!M52</f>
        <v>0</v>
      </c>
      <c r="DC27" s="97">
        <f>数据源!N52</f>
        <v>0</v>
      </c>
      <c r="DD27" s="97">
        <f>IF(数据源!L52&lt;&gt;"QC",0,数据源!O52)</f>
        <v>0</v>
      </c>
    </row>
    <row r="28" spans="1:108">
      <c r="A28" s="1" t="str">
        <f>IF(数据源!K53="外检","#","")</f>
        <v/>
      </c>
      <c r="B28" s="2" t="str">
        <f>IF(ISBLANK(数据源!B53),"",数据源!B53)</f>
        <v/>
      </c>
      <c r="C28" s="2" t="str">
        <f>IF(ISBLANK(数据源!C53),"",IF(数据源!C53="/",数据源!F53,数据源!C53))</f>
        <v/>
      </c>
      <c r="D28" s="2" t="str">
        <f>IF(LEN(数据源!P53)=0,IF(LEN(数据源!D53)=0,"",数据源!D53),数据源!P53)</f>
        <v/>
      </c>
      <c r="E28" s="2"/>
      <c r="F28" s="2" t="str">
        <f>IF(ISBLANK(数据源!E53),"",数据源!E53)</f>
        <v/>
      </c>
      <c r="G28" s="2" t="str">
        <f>IF(ISBLANK(数据源!G53),"",IF(数据源!G53="A","合格","不合格"))</f>
        <v/>
      </c>
      <c r="H28" s="2" t="str">
        <f>IF(ISBLANK(数据源!H53),"",数据源!H53)</f>
        <v/>
      </c>
      <c r="I28" s="2" t="str">
        <f>IF(ISBLANK(数据源!J53),"",数据源!J53)</f>
        <v/>
      </c>
      <c r="J28" s="2" t="str">
        <f>IF(ISBLANK(数据源!L53),"",数据源!L53)</f>
        <v/>
      </c>
      <c r="K28" s="1" t="str">
        <f>IF(数据源!AD53="外检","#","")</f>
        <v/>
      </c>
      <c r="L28" s="2" t="str">
        <f>IF(ISBLANK(数据源!U53),"",数据源!U53)</f>
        <v/>
      </c>
      <c r="M28" s="2" t="str">
        <f>IF(ISBLANK(数据源!V53),"",IF(数据源!V53="/",数据源!Y53,数据源!V53))</f>
        <v/>
      </c>
      <c r="N28" s="2" t="str">
        <f>IF(LEN(数据源!AI53)=0,IF(LEN(数据源!W53)=0,"",数据源!W53),数据源!AI53)</f>
        <v/>
      </c>
      <c r="O28" s="1"/>
      <c r="P28" s="2" t="str">
        <f>IF(ISBLANK(数据源!X53),"",数据源!X53)</f>
        <v/>
      </c>
      <c r="Q28" s="2" t="str">
        <f>IF(ISBLANK(数据源!Z53),"",IF(数据源!Z53="A","合格","不合格"))</f>
        <v/>
      </c>
      <c r="R28" s="2" t="str">
        <f>IF(ISBLANK(数据源!AA53),"",数据源!AA53)</f>
        <v/>
      </c>
      <c r="S28" s="2" t="str">
        <f>IF(ISBLANK(数据源!AC53),"",数据源!AC53)</f>
        <v/>
      </c>
      <c r="T28" s="2" t="str">
        <f>IF(ISBLANK(数据源!AE53),"",数据源!AE53)</f>
        <v/>
      </c>
      <c r="Z28" t="s">
        <v>20</v>
      </c>
      <c r="AW28" s="1" t="str">
        <f>IF(数据源!K53="外检","#","")</f>
        <v/>
      </c>
      <c r="AX28" s="2" t="str">
        <f>IF(ISBLANK(数据源!Q53),"",数据源!Q53)</f>
        <v/>
      </c>
      <c r="AY28" s="2" t="str">
        <f>IF(ISBLANK(数据源!R53),"",数据源!R53)</f>
        <v/>
      </c>
      <c r="AZ28" s="2" t="str">
        <f>IF(LEN(数据源!P53)=0,IF(LEN(数据源!D53)=0,"",数据源!D53),数据源!P53)</f>
        <v/>
      </c>
      <c r="BA28" s="2"/>
      <c r="BB28" s="2" t="str">
        <f>IF(ISBLANK(数据源!E53),"",数据源!E53)</f>
        <v/>
      </c>
      <c r="BC28" s="2" t="str">
        <f>IF(ISBLANK(数据源!G53),"",IF(数据源!G53="A","Qualified","Unqualified"))</f>
        <v/>
      </c>
      <c r="BD28" s="2" t="str">
        <f>IF(ISBLANK(数据源!S53),"",数据源!S53)</f>
        <v/>
      </c>
      <c r="BE28" s="2" t="str">
        <f>IF(ISBLANK(数据源!J53),"",数据源!J53)</f>
        <v/>
      </c>
      <c r="BF28" s="2" t="str">
        <f>IF(ISBLANK(数据源!L53),"",数据源!L53)</f>
        <v/>
      </c>
      <c r="BG28" s="1" t="str">
        <f>IF(数据源!AD53="外检","#","")</f>
        <v/>
      </c>
      <c r="BH28" s="2" t="str">
        <f>IF(ISBLANK(数据源!AJ53),"",数据源!AJ53)</f>
        <v/>
      </c>
      <c r="BI28" s="2" t="str">
        <f>IF(ISBLANK(数据源!AK53),"",数据源!AK53)</f>
        <v/>
      </c>
      <c r="BJ28" s="2" t="str">
        <f>IF(LEN(数据源!AI53)=0,IF(LEN(数据源!W53)=0,"",数据源!W53),数据源!AI53)</f>
        <v/>
      </c>
      <c r="BK28" s="1"/>
      <c r="BL28" s="2" t="str">
        <f>IF(ISBLANK(数据源!X53),"",数据源!X53)</f>
        <v/>
      </c>
      <c r="BM28" s="2" t="str">
        <f>IF(ISBLANK(数据源!Z53),"",IF(数据源!Z53="A","Qualified","Unqualified"))</f>
        <v/>
      </c>
      <c r="BN28" s="2" t="str">
        <f>IF(ISBLANK(数据源!AL53),"",数据源!AL53)</f>
        <v/>
      </c>
      <c r="BO28" s="2" t="str">
        <f>IF(ISBLANK(数据源!AC53),"",数据源!AC53)</f>
        <v/>
      </c>
      <c r="BP28" s="2" t="str">
        <f>IF(ISBLANK(数据源!AE53),"",数据源!AE53)</f>
        <v/>
      </c>
      <c r="BV28" t="s">
        <v>20</v>
      </c>
      <c r="BW28" t="s">
        <v>20</v>
      </c>
      <c r="BX28" t="s">
        <v>20</v>
      </c>
      <c r="CP28" s="86" t="str">
        <f>IF(ISBLANK(数据源!AW53),"",数据源!AW53)</f>
        <v/>
      </c>
      <c r="CQ28" s="86"/>
      <c r="CR28" s="86" t="str">
        <f>IF(ISBLANK(数据源!AX53),"",数据源!AX53)</f>
        <v/>
      </c>
      <c r="CS28" s="86" t="str">
        <f>IF(ISBLANK(数据源!AV53),"",数据源!AV53)</f>
        <v/>
      </c>
      <c r="CT28" s="86"/>
      <c r="CU28" s="87" t="s">
        <v>168</v>
      </c>
      <c r="CV28" s="86"/>
      <c r="CW28" s="86" t="str">
        <f>IF(ISBLANK(数据源!AU53),"",数据源!AU53)</f>
        <v/>
      </c>
      <c r="DA28" s="97">
        <f>IF(数据源!L53&lt;&gt;"QA",0,数据源!O53)</f>
        <v>0</v>
      </c>
      <c r="DB28" s="97">
        <f>数据源!M53</f>
        <v>0</v>
      </c>
      <c r="DC28" s="97">
        <f>数据源!N53</f>
        <v>0</v>
      </c>
      <c r="DD28" s="97">
        <f>IF(数据源!L53&lt;&gt;"QC",0,数据源!O53)</f>
        <v>0</v>
      </c>
    </row>
    <row r="29" spans="1:108">
      <c r="A29" s="1" t="str">
        <f>IF(数据源!K54="外检","#","")</f>
        <v/>
      </c>
      <c r="B29" s="2" t="str">
        <f>IF(ISBLANK(数据源!B54),"",数据源!B54)</f>
        <v/>
      </c>
      <c r="C29" s="2" t="str">
        <f>IF(ISBLANK(数据源!C54),"",IF(数据源!C54="/",数据源!F54,数据源!C54))</f>
        <v/>
      </c>
      <c r="D29" s="2" t="str">
        <f>IF(LEN(数据源!P54)=0,IF(LEN(数据源!D54)=0,"",数据源!D54),数据源!P54)</f>
        <v/>
      </c>
      <c r="E29" s="2"/>
      <c r="F29" s="2" t="str">
        <f>IF(ISBLANK(数据源!E54),"",数据源!E54)</f>
        <v/>
      </c>
      <c r="G29" s="2" t="str">
        <f>IF(ISBLANK(数据源!G54),"",IF(数据源!G54="A","合格","不合格"))</f>
        <v/>
      </c>
      <c r="H29" s="2" t="str">
        <f>IF(ISBLANK(数据源!H54),"",数据源!H54)</f>
        <v/>
      </c>
      <c r="I29" s="2" t="str">
        <f>IF(ISBLANK(数据源!J54),"",数据源!J54)</f>
        <v/>
      </c>
      <c r="J29" s="2" t="str">
        <f>IF(ISBLANK(数据源!L54),"",数据源!L54)</f>
        <v/>
      </c>
      <c r="K29" s="1" t="str">
        <f>IF(数据源!AD54="外检","#","")</f>
        <v/>
      </c>
      <c r="L29" s="2" t="str">
        <f>IF(ISBLANK(数据源!U54),"",数据源!U54)</f>
        <v/>
      </c>
      <c r="M29" s="2" t="str">
        <f>IF(ISBLANK(数据源!V54),"",IF(数据源!V54="/",数据源!Y54,数据源!V54))</f>
        <v/>
      </c>
      <c r="N29" s="2" t="str">
        <f>IF(LEN(数据源!AI54)=0,IF(LEN(数据源!W54)=0,"",数据源!W54),数据源!AI54)</f>
        <v/>
      </c>
      <c r="O29" s="1"/>
      <c r="P29" s="2" t="str">
        <f>IF(ISBLANK(数据源!X54),"",数据源!X54)</f>
        <v/>
      </c>
      <c r="Q29" s="2" t="str">
        <f>IF(ISBLANK(数据源!Z54),"",IF(数据源!Z54="A","合格","不合格"))</f>
        <v/>
      </c>
      <c r="R29" s="2" t="str">
        <f>IF(ISBLANK(数据源!AA54),"",数据源!AA54)</f>
        <v/>
      </c>
      <c r="S29" s="2" t="str">
        <f>IF(ISBLANK(数据源!AC54),"",数据源!AC54)</f>
        <v/>
      </c>
      <c r="T29" s="2" t="str">
        <f>IF(ISBLANK(数据源!AE54),"",数据源!AE54)</f>
        <v/>
      </c>
      <c r="Z29" t="s">
        <v>20</v>
      </c>
      <c r="AW29" s="1" t="str">
        <f>IF(数据源!K54="外检","#","")</f>
        <v/>
      </c>
      <c r="AX29" s="2" t="str">
        <f>IF(ISBLANK(数据源!Q54),"",数据源!Q54)</f>
        <v/>
      </c>
      <c r="AY29" s="2" t="str">
        <f>IF(ISBLANK(数据源!R54),"",数据源!R54)</f>
        <v/>
      </c>
      <c r="AZ29" s="2" t="str">
        <f>IF(LEN(数据源!P54)=0,IF(LEN(数据源!D54)=0,"",数据源!D54),数据源!P54)</f>
        <v/>
      </c>
      <c r="BA29" s="2"/>
      <c r="BB29" s="2" t="str">
        <f>IF(ISBLANK(数据源!E54),"",数据源!E54)</f>
        <v/>
      </c>
      <c r="BC29" s="2" t="str">
        <f>IF(ISBLANK(数据源!G54),"",IF(数据源!G54="A","Qualified","Unqualified"))</f>
        <v/>
      </c>
      <c r="BD29" s="2" t="str">
        <f>IF(ISBLANK(数据源!S54),"",数据源!S54)</f>
        <v/>
      </c>
      <c r="BE29" s="2" t="str">
        <f>IF(ISBLANK(数据源!J54),"",数据源!J54)</f>
        <v/>
      </c>
      <c r="BF29" s="2" t="str">
        <f>IF(ISBLANK(数据源!L54),"",数据源!L54)</f>
        <v/>
      </c>
      <c r="BG29" s="1" t="str">
        <f>IF(数据源!AD54="外检","#","")</f>
        <v/>
      </c>
      <c r="BH29" s="2" t="str">
        <f>IF(ISBLANK(数据源!AJ54),"",数据源!AJ54)</f>
        <v/>
      </c>
      <c r="BI29" s="2" t="str">
        <f>IF(ISBLANK(数据源!AK54),"",数据源!AK54)</f>
        <v/>
      </c>
      <c r="BJ29" s="2" t="str">
        <f>IF(LEN(数据源!AI54)=0,IF(LEN(数据源!W54)=0,"",数据源!W54),数据源!AI54)</f>
        <v/>
      </c>
      <c r="BK29" s="1"/>
      <c r="BL29" s="2" t="str">
        <f>IF(ISBLANK(数据源!X54),"",数据源!X54)</f>
        <v/>
      </c>
      <c r="BM29" s="2" t="str">
        <f>IF(ISBLANK(数据源!Z54),"",IF(数据源!Z54="A","Qualified","Unqualified"))</f>
        <v/>
      </c>
      <c r="BN29" s="2" t="str">
        <f>IF(ISBLANK(数据源!AL54),"",数据源!AL54)</f>
        <v/>
      </c>
      <c r="BO29" s="2" t="str">
        <f>IF(ISBLANK(数据源!AC54),"",数据源!AC54)</f>
        <v/>
      </c>
      <c r="BP29" s="2" t="str">
        <f>IF(ISBLANK(数据源!AE54),"",数据源!AE54)</f>
        <v/>
      </c>
      <c r="BV29" t="s">
        <v>20</v>
      </c>
      <c r="BW29" t="s">
        <v>20</v>
      </c>
      <c r="BX29" t="s">
        <v>20</v>
      </c>
      <c r="CP29" s="86" t="str">
        <f>IF(ISBLANK(数据源!AW54),"",数据源!AW54)</f>
        <v/>
      </c>
      <c r="CQ29" s="86"/>
      <c r="CR29" s="86" t="str">
        <f>IF(ISBLANK(数据源!AX54),"",数据源!AX54)</f>
        <v/>
      </c>
      <c r="CS29" s="86" t="str">
        <f>IF(ISBLANK(数据源!AV54),"",数据源!AV54)</f>
        <v/>
      </c>
      <c r="CT29" s="86"/>
      <c r="CU29" s="87" t="s">
        <v>168</v>
      </c>
      <c r="CV29" s="86"/>
      <c r="CW29" s="86" t="str">
        <f>IF(ISBLANK(数据源!AU54),"",数据源!AU54)</f>
        <v/>
      </c>
      <c r="DA29" s="97">
        <f>IF(数据源!L54&lt;&gt;"QA",0,数据源!O54)</f>
        <v>0</v>
      </c>
      <c r="DB29" s="97">
        <f>数据源!M54</f>
        <v>0</v>
      </c>
      <c r="DC29" s="97">
        <f>数据源!N54</f>
        <v>0</v>
      </c>
      <c r="DD29" s="97">
        <f>IF(数据源!L54&lt;&gt;"QC",0,数据源!O54)</f>
        <v>0</v>
      </c>
    </row>
    <row r="30" spans="1:108">
      <c r="A30" s="1" t="str">
        <f>IF(数据源!K55="外检","#","")</f>
        <v/>
      </c>
      <c r="B30" s="2" t="str">
        <f>IF(ISBLANK(数据源!B55),"",数据源!B55)</f>
        <v/>
      </c>
      <c r="C30" s="2" t="str">
        <f>IF(ISBLANK(数据源!C55),"",IF(数据源!C55="/",数据源!F55,数据源!C55))</f>
        <v/>
      </c>
      <c r="D30" s="2" t="str">
        <f>IF(LEN(数据源!P55)=0,IF(LEN(数据源!D55)=0,"",数据源!D55),数据源!P55)</f>
        <v/>
      </c>
      <c r="E30" s="2"/>
      <c r="F30" s="2" t="str">
        <f>IF(ISBLANK(数据源!E55),"",数据源!E55)</f>
        <v/>
      </c>
      <c r="G30" s="2" t="str">
        <f>IF(ISBLANK(数据源!G55),"",IF(数据源!G55="A","合格","不合格"))</f>
        <v/>
      </c>
      <c r="H30" s="2" t="str">
        <f>IF(ISBLANK(数据源!H55),"",数据源!H55)</f>
        <v/>
      </c>
      <c r="I30" s="2" t="str">
        <f>IF(ISBLANK(数据源!J55),"",数据源!J55)</f>
        <v/>
      </c>
      <c r="J30" s="2" t="str">
        <f>IF(ISBLANK(数据源!L55),"",数据源!L55)</f>
        <v/>
      </c>
      <c r="K30" s="1" t="str">
        <f>IF(数据源!AD55="外检","#","")</f>
        <v/>
      </c>
      <c r="L30" s="2" t="str">
        <f>IF(ISBLANK(数据源!U55),"",数据源!U55)</f>
        <v/>
      </c>
      <c r="M30" s="2" t="str">
        <f>IF(ISBLANK(数据源!V55),"",IF(数据源!V55="/",数据源!Y55,数据源!V55))</f>
        <v/>
      </c>
      <c r="N30" s="2" t="str">
        <f>IF(LEN(数据源!AI55)=0,IF(LEN(数据源!W55)=0,"",数据源!W55),数据源!AI55)</f>
        <v/>
      </c>
      <c r="O30" s="1"/>
      <c r="P30" s="2" t="str">
        <f>IF(ISBLANK(数据源!X55),"",数据源!X55)</f>
        <v/>
      </c>
      <c r="Q30" s="2" t="str">
        <f>IF(ISBLANK(数据源!Z55),"",IF(数据源!Z55="A","合格","不合格"))</f>
        <v/>
      </c>
      <c r="R30" s="2" t="str">
        <f>IF(ISBLANK(数据源!AA55),"",数据源!AA55)</f>
        <v/>
      </c>
      <c r="S30" s="2" t="str">
        <f>IF(ISBLANK(数据源!AC55),"",数据源!AC55)</f>
        <v/>
      </c>
      <c r="T30" s="2" t="str">
        <f>IF(ISBLANK(数据源!AE55),"",数据源!AE55)</f>
        <v/>
      </c>
      <c r="Z30" t="s">
        <v>20</v>
      </c>
      <c r="AW30" s="1" t="str">
        <f>IF(数据源!K55="外检","#","")</f>
        <v/>
      </c>
      <c r="AX30" s="2" t="str">
        <f>IF(ISBLANK(数据源!Q55),"",数据源!Q55)</f>
        <v/>
      </c>
      <c r="AY30" s="2" t="str">
        <f>IF(ISBLANK(数据源!R55),"",数据源!R55)</f>
        <v/>
      </c>
      <c r="AZ30" s="2" t="str">
        <f>IF(LEN(数据源!P55)=0,IF(LEN(数据源!D55)=0,"",数据源!D55),数据源!P55)</f>
        <v/>
      </c>
      <c r="BA30" s="2"/>
      <c r="BB30" s="2" t="str">
        <f>IF(ISBLANK(数据源!E55),"",数据源!E55)</f>
        <v/>
      </c>
      <c r="BC30" s="2" t="str">
        <f>IF(ISBLANK(数据源!G55),"",IF(数据源!G55="A","Qualified","Unqualified"))</f>
        <v/>
      </c>
      <c r="BD30" s="2" t="str">
        <f>IF(ISBLANK(数据源!S55),"",数据源!S55)</f>
        <v/>
      </c>
      <c r="BE30" s="2" t="str">
        <f>IF(ISBLANK(数据源!J55),"",数据源!J55)</f>
        <v/>
      </c>
      <c r="BF30" s="2" t="str">
        <f>IF(ISBLANK(数据源!L55),"",数据源!L55)</f>
        <v/>
      </c>
      <c r="BG30" s="1" t="str">
        <f>IF(数据源!AD55="外检","#","")</f>
        <v/>
      </c>
      <c r="BH30" s="2" t="str">
        <f>IF(ISBLANK(数据源!AJ55),"",数据源!AJ55)</f>
        <v/>
      </c>
      <c r="BI30" s="2" t="str">
        <f>IF(ISBLANK(数据源!AK55),"",数据源!AK55)</f>
        <v/>
      </c>
      <c r="BJ30" s="2" t="str">
        <f>IF(LEN(数据源!AI55)=0,IF(LEN(数据源!W55)=0,"",数据源!W55),数据源!AI55)</f>
        <v/>
      </c>
      <c r="BK30" s="1"/>
      <c r="BL30" s="2" t="str">
        <f>IF(ISBLANK(数据源!X55),"",数据源!X55)</f>
        <v/>
      </c>
      <c r="BM30" s="2" t="str">
        <f>IF(ISBLANK(数据源!Z55),"",IF(数据源!Z55="A","Qualified","Unqualified"))</f>
        <v/>
      </c>
      <c r="BN30" s="2" t="str">
        <f>IF(ISBLANK(数据源!AL55),"",数据源!AL55)</f>
        <v/>
      </c>
      <c r="BO30" s="2" t="str">
        <f>IF(ISBLANK(数据源!AC55),"",数据源!AC55)</f>
        <v/>
      </c>
      <c r="BP30" s="2" t="str">
        <f>IF(ISBLANK(数据源!AE55),"",数据源!AE55)</f>
        <v/>
      </c>
      <c r="BV30" t="s">
        <v>20</v>
      </c>
      <c r="BW30" t="s">
        <v>20</v>
      </c>
      <c r="BX30" t="s">
        <v>20</v>
      </c>
      <c r="CP30" s="86" t="str">
        <f>IF(ISBLANK(数据源!AW55),"",数据源!AW55)</f>
        <v/>
      </c>
      <c r="CQ30" s="86"/>
      <c r="CR30" s="86" t="str">
        <f>IF(ISBLANK(数据源!AX55),"",数据源!AX55)</f>
        <v/>
      </c>
      <c r="CS30" s="86" t="str">
        <f>IF(ISBLANK(数据源!AV55),"",数据源!AV55)</f>
        <v/>
      </c>
      <c r="CT30" s="86"/>
      <c r="CU30" s="87" t="s">
        <v>168</v>
      </c>
      <c r="CV30" s="86"/>
      <c r="CW30" s="86" t="str">
        <f>IF(ISBLANK(数据源!AU55),"",数据源!AU55)</f>
        <v/>
      </c>
      <c r="DA30" s="97">
        <f>IF(数据源!L55&lt;&gt;"QA",0,数据源!O55)</f>
        <v>0</v>
      </c>
      <c r="DB30" s="97">
        <f>数据源!M55</f>
        <v>0</v>
      </c>
      <c r="DC30" s="97">
        <f>数据源!N55</f>
        <v>0</v>
      </c>
      <c r="DD30" s="97">
        <f>IF(数据源!L55&lt;&gt;"QC",0,数据源!O55)</f>
        <v>0</v>
      </c>
    </row>
    <row r="31" spans="1:108">
      <c r="A31" s="1" t="str">
        <f>IF(数据源!K56="外检","#","")</f>
        <v/>
      </c>
      <c r="B31" s="2" t="str">
        <f>IF(ISBLANK(数据源!B56),"",数据源!B56)</f>
        <v/>
      </c>
      <c r="C31" s="2" t="str">
        <f>IF(ISBLANK(数据源!C56),"",IF(数据源!C56="/",数据源!F56,数据源!C56))</f>
        <v/>
      </c>
      <c r="D31" s="2" t="str">
        <f>IF(LEN(数据源!P56)=0,IF(LEN(数据源!D56)=0,"",数据源!D56),数据源!P56)</f>
        <v/>
      </c>
      <c r="E31" s="2"/>
      <c r="F31" s="2" t="str">
        <f>IF(ISBLANK(数据源!E56),"",数据源!E56)</f>
        <v/>
      </c>
      <c r="G31" s="2" t="str">
        <f>IF(ISBLANK(数据源!G56),"",IF(数据源!G56="A","合格","不合格"))</f>
        <v/>
      </c>
      <c r="H31" s="2" t="str">
        <f>IF(ISBLANK(数据源!H56),"",数据源!H56)</f>
        <v/>
      </c>
      <c r="I31" s="2" t="str">
        <f>IF(ISBLANK(数据源!J56),"",数据源!J56)</f>
        <v/>
      </c>
      <c r="J31" s="2" t="str">
        <f>IF(ISBLANK(数据源!L56),"",数据源!L56)</f>
        <v/>
      </c>
      <c r="K31" s="1" t="str">
        <f>IF(数据源!AD56="外检","#","")</f>
        <v/>
      </c>
      <c r="L31" s="2" t="str">
        <f>IF(ISBLANK(数据源!U56),"",数据源!U56)</f>
        <v/>
      </c>
      <c r="M31" s="2" t="str">
        <f>IF(ISBLANK(数据源!V56),"",IF(数据源!V56="/",数据源!Y56,数据源!V56))</f>
        <v/>
      </c>
      <c r="N31" s="2" t="str">
        <f>IF(LEN(数据源!AI56)=0,IF(LEN(数据源!W56)=0,"",数据源!W56),数据源!AI56)</f>
        <v/>
      </c>
      <c r="O31" s="1"/>
      <c r="P31" s="2" t="str">
        <f>IF(ISBLANK(数据源!X56),"",数据源!X56)</f>
        <v/>
      </c>
      <c r="Q31" s="2" t="str">
        <f>IF(ISBLANK(数据源!Z56),"",IF(数据源!Z56="A","合格","不合格"))</f>
        <v/>
      </c>
      <c r="R31" s="2" t="str">
        <f>IF(ISBLANK(数据源!AA56),"",数据源!AA56)</f>
        <v/>
      </c>
      <c r="S31" s="2" t="str">
        <f>IF(ISBLANK(数据源!AC56),"",数据源!AC56)</f>
        <v/>
      </c>
      <c r="T31" s="2" t="str">
        <f>IF(ISBLANK(数据源!AE56),"",数据源!AE56)</f>
        <v/>
      </c>
      <c r="Z31" t="s">
        <v>20</v>
      </c>
      <c r="AW31" s="1" t="str">
        <f>IF(数据源!K56="外检","#","")</f>
        <v/>
      </c>
      <c r="AX31" s="2" t="str">
        <f>IF(ISBLANK(数据源!Q56),"",数据源!Q56)</f>
        <v/>
      </c>
      <c r="AY31" s="2" t="str">
        <f>IF(ISBLANK(数据源!R56),"",数据源!R56)</f>
        <v/>
      </c>
      <c r="AZ31" s="2" t="str">
        <f>IF(LEN(数据源!P56)=0,IF(LEN(数据源!D56)=0,"",数据源!D56),数据源!P56)</f>
        <v/>
      </c>
      <c r="BA31" s="2"/>
      <c r="BB31" s="2" t="str">
        <f>IF(ISBLANK(数据源!E56),"",数据源!E56)</f>
        <v/>
      </c>
      <c r="BC31" s="2" t="str">
        <f>IF(ISBLANK(数据源!G56),"",IF(数据源!G56="A","Qualified","Unqualified"))</f>
        <v/>
      </c>
      <c r="BD31" s="2" t="str">
        <f>IF(ISBLANK(数据源!S56),"",数据源!S56)</f>
        <v/>
      </c>
      <c r="BE31" s="2" t="str">
        <f>IF(ISBLANK(数据源!J56),"",数据源!J56)</f>
        <v/>
      </c>
      <c r="BF31" s="2" t="str">
        <f>IF(ISBLANK(数据源!L56),"",数据源!L56)</f>
        <v/>
      </c>
      <c r="BG31" s="1" t="str">
        <f>IF(数据源!AD56="外检","#","")</f>
        <v/>
      </c>
      <c r="BH31" s="2" t="str">
        <f>IF(ISBLANK(数据源!AJ56),"",数据源!AJ56)</f>
        <v/>
      </c>
      <c r="BI31" s="2" t="str">
        <f>IF(ISBLANK(数据源!AK56),"",数据源!AK56)</f>
        <v/>
      </c>
      <c r="BJ31" s="2" t="str">
        <f>IF(LEN(数据源!AI56)=0,IF(LEN(数据源!W56)=0,"",数据源!W56),数据源!AI56)</f>
        <v/>
      </c>
      <c r="BK31" s="1"/>
      <c r="BL31" s="2" t="str">
        <f>IF(ISBLANK(数据源!X56),"",数据源!X56)</f>
        <v/>
      </c>
      <c r="BM31" s="2" t="str">
        <f>IF(ISBLANK(数据源!Z56),"",IF(数据源!Z56="A","Qualified","Unqualified"))</f>
        <v/>
      </c>
      <c r="BN31" s="2" t="str">
        <f>IF(ISBLANK(数据源!AL56),"",数据源!AL56)</f>
        <v/>
      </c>
      <c r="BO31" s="2" t="str">
        <f>IF(ISBLANK(数据源!AC56),"",数据源!AC56)</f>
        <v/>
      </c>
      <c r="BP31" s="2" t="str">
        <f>IF(ISBLANK(数据源!AE56),"",数据源!AE56)</f>
        <v/>
      </c>
      <c r="BV31" t="s">
        <v>20</v>
      </c>
      <c r="BW31" t="s">
        <v>20</v>
      </c>
      <c r="BX31" t="s">
        <v>20</v>
      </c>
      <c r="CP31" s="86" t="str">
        <f>IF(ISBLANK(数据源!AW56),"",数据源!AW56)</f>
        <v/>
      </c>
      <c r="CQ31" s="86"/>
      <c r="CR31" s="86" t="str">
        <f>IF(ISBLANK(数据源!AX56),"",数据源!AX56)</f>
        <v/>
      </c>
      <c r="CS31" s="86" t="str">
        <f>IF(ISBLANK(数据源!AV56),"",数据源!AV56)</f>
        <v/>
      </c>
      <c r="CT31" s="86"/>
      <c r="CU31" s="87" t="s">
        <v>168</v>
      </c>
      <c r="CV31" s="86"/>
      <c r="CW31" s="86" t="str">
        <f>IF(ISBLANK(数据源!AU56),"",数据源!AU56)</f>
        <v/>
      </c>
      <c r="DA31" s="97">
        <f>IF(数据源!L56&lt;&gt;"QA",0,数据源!O56)</f>
        <v>0</v>
      </c>
      <c r="DB31" s="97">
        <f>数据源!M56</f>
        <v>0</v>
      </c>
      <c r="DC31" s="97">
        <f>数据源!N56</f>
        <v>0</v>
      </c>
      <c r="DD31" s="97">
        <f>IF(数据源!L56&lt;&gt;"QC",0,数据源!O56)</f>
        <v>0</v>
      </c>
    </row>
    <row r="32" spans="1:108">
      <c r="A32" s="1" t="str">
        <f>IF(数据源!K57="外检","#","")</f>
        <v/>
      </c>
      <c r="B32" s="2" t="str">
        <f>IF(ISBLANK(数据源!B57),"",数据源!B57)</f>
        <v/>
      </c>
      <c r="C32" s="2" t="str">
        <f>IF(ISBLANK(数据源!C57),"",IF(数据源!C57="/",数据源!F57,数据源!C57))</f>
        <v/>
      </c>
      <c r="D32" s="2" t="str">
        <f>IF(LEN(数据源!P57)=0,IF(LEN(数据源!D57)=0,"",数据源!D57),数据源!P57)</f>
        <v/>
      </c>
      <c r="E32" s="2"/>
      <c r="F32" s="2" t="str">
        <f>IF(ISBLANK(数据源!E57),"",数据源!E57)</f>
        <v/>
      </c>
      <c r="G32" s="2" t="str">
        <f>IF(ISBLANK(数据源!G57),"",IF(数据源!G57="A","合格","不合格"))</f>
        <v/>
      </c>
      <c r="H32" s="2" t="str">
        <f>IF(ISBLANK(数据源!H57),"",数据源!H57)</f>
        <v/>
      </c>
      <c r="I32" s="2" t="str">
        <f>IF(ISBLANK(数据源!J57),"",数据源!J57)</f>
        <v/>
      </c>
      <c r="J32" s="2" t="str">
        <f>IF(ISBLANK(数据源!L57),"",数据源!L57)</f>
        <v/>
      </c>
      <c r="K32" s="1" t="str">
        <f>IF(数据源!AD57="外检","#","")</f>
        <v/>
      </c>
      <c r="L32" s="2" t="str">
        <f>IF(ISBLANK(数据源!U57),"",数据源!U57)</f>
        <v/>
      </c>
      <c r="M32" s="2" t="str">
        <f>IF(ISBLANK(数据源!V57),"",IF(数据源!V57="/",数据源!Y57,数据源!V57))</f>
        <v/>
      </c>
      <c r="N32" s="2" t="str">
        <f>IF(LEN(数据源!AI57)=0,IF(LEN(数据源!W57)=0,"",数据源!W57),数据源!AI57)</f>
        <v/>
      </c>
      <c r="O32" s="1"/>
      <c r="P32" s="2" t="str">
        <f>IF(ISBLANK(数据源!X57),"",数据源!X57)</f>
        <v/>
      </c>
      <c r="Q32" s="2" t="str">
        <f>IF(ISBLANK(数据源!Z57),"",IF(数据源!Z57="A","合格","不合格"))</f>
        <v/>
      </c>
      <c r="R32" s="2" t="str">
        <f>IF(ISBLANK(数据源!AA57),"",数据源!AA57)</f>
        <v/>
      </c>
      <c r="S32" s="2" t="str">
        <f>IF(ISBLANK(数据源!AC57),"",数据源!AC57)</f>
        <v/>
      </c>
      <c r="T32" s="2" t="str">
        <f>IF(ISBLANK(数据源!AE57),"",数据源!AE57)</f>
        <v/>
      </c>
      <c r="Z32" t="s">
        <v>20</v>
      </c>
      <c r="AW32" s="1" t="str">
        <f>IF(数据源!K57="外检","#","")</f>
        <v/>
      </c>
      <c r="AX32" s="2" t="str">
        <f>IF(ISBLANK(数据源!Q57),"",数据源!Q57)</f>
        <v/>
      </c>
      <c r="AY32" s="2" t="str">
        <f>IF(ISBLANK(数据源!R57),"",数据源!R57)</f>
        <v/>
      </c>
      <c r="AZ32" s="2" t="str">
        <f>IF(LEN(数据源!P57)=0,IF(LEN(数据源!D57)=0,"",数据源!D57),数据源!P57)</f>
        <v/>
      </c>
      <c r="BA32" s="2"/>
      <c r="BB32" s="2" t="str">
        <f>IF(ISBLANK(数据源!E57),"",数据源!E57)</f>
        <v/>
      </c>
      <c r="BC32" s="2" t="str">
        <f>IF(ISBLANK(数据源!G57),"",IF(数据源!G57="A","Qualified","Unqualified"))</f>
        <v/>
      </c>
      <c r="BD32" s="2" t="str">
        <f>IF(ISBLANK(数据源!S57),"",数据源!S57)</f>
        <v/>
      </c>
      <c r="BE32" s="2" t="str">
        <f>IF(ISBLANK(数据源!J57),"",数据源!J57)</f>
        <v/>
      </c>
      <c r="BF32" s="2" t="str">
        <f>IF(ISBLANK(数据源!L57),"",数据源!L57)</f>
        <v/>
      </c>
      <c r="BG32" s="1" t="str">
        <f>IF(数据源!AD57="外检","#","")</f>
        <v/>
      </c>
      <c r="BH32" s="2" t="str">
        <f>IF(ISBLANK(数据源!AJ57),"",数据源!AJ57)</f>
        <v/>
      </c>
      <c r="BI32" s="2" t="str">
        <f>IF(ISBLANK(数据源!AK57),"",数据源!AK57)</f>
        <v/>
      </c>
      <c r="BJ32" s="2" t="str">
        <f>IF(LEN(数据源!AI57)=0,IF(LEN(数据源!W57)=0,"",数据源!W57),数据源!AI57)</f>
        <v/>
      </c>
      <c r="BK32" s="1"/>
      <c r="BL32" s="2" t="str">
        <f>IF(ISBLANK(数据源!X57),"",数据源!X57)</f>
        <v/>
      </c>
      <c r="BM32" s="2" t="str">
        <f>IF(ISBLANK(数据源!Z57),"",IF(数据源!Z57="A","Qualified","Unqualified"))</f>
        <v/>
      </c>
      <c r="BN32" s="2" t="str">
        <f>IF(ISBLANK(数据源!AL57),"",数据源!AL57)</f>
        <v/>
      </c>
      <c r="BO32" s="2" t="str">
        <f>IF(ISBLANK(数据源!AC57),"",数据源!AC57)</f>
        <v/>
      </c>
      <c r="BP32" s="2" t="str">
        <f>IF(ISBLANK(数据源!AE57),"",数据源!AE57)</f>
        <v/>
      </c>
      <c r="BV32" t="s">
        <v>20</v>
      </c>
      <c r="BW32" t="s">
        <v>20</v>
      </c>
      <c r="BX32" t="s">
        <v>20</v>
      </c>
      <c r="CP32" s="86" t="str">
        <f>IF(ISBLANK(数据源!AW57),"",数据源!AW57)</f>
        <v/>
      </c>
      <c r="CQ32" s="86"/>
      <c r="CR32" s="86" t="str">
        <f>IF(ISBLANK(数据源!AX57),"",数据源!AX57)</f>
        <v/>
      </c>
      <c r="CS32" s="86" t="str">
        <f>IF(ISBLANK(数据源!AV57),"",数据源!AV57)</f>
        <v/>
      </c>
      <c r="CT32" s="86"/>
      <c r="CU32" s="87" t="s">
        <v>168</v>
      </c>
      <c r="CV32" s="86"/>
      <c r="CW32" s="86" t="str">
        <f>IF(ISBLANK(数据源!AU57),"",数据源!AU57)</f>
        <v/>
      </c>
      <c r="DA32" s="97">
        <f>IF(数据源!L57&lt;&gt;"QA",0,数据源!O57)</f>
        <v>0</v>
      </c>
      <c r="DB32" s="97">
        <f>数据源!M57</f>
        <v>0</v>
      </c>
      <c r="DC32" s="97">
        <f>数据源!N57</f>
        <v>0</v>
      </c>
      <c r="DD32" s="97">
        <f>IF(数据源!L57&lt;&gt;"QC",0,数据源!O57)</f>
        <v>0</v>
      </c>
    </row>
    <row r="33" spans="1:108">
      <c r="A33" s="1" t="str">
        <f>IF(数据源!K58="外检","#","")</f>
        <v/>
      </c>
      <c r="B33" s="2" t="str">
        <f>IF(ISBLANK(数据源!B58),"",数据源!B58)</f>
        <v/>
      </c>
      <c r="C33" s="2" t="str">
        <f>IF(ISBLANK(数据源!C58),"",IF(数据源!C58="/",数据源!F58,数据源!C58))</f>
        <v/>
      </c>
      <c r="D33" s="2" t="str">
        <f>IF(LEN(数据源!P58)=0,IF(LEN(数据源!D58)=0,"",数据源!D58),数据源!P58)</f>
        <v/>
      </c>
      <c r="E33" s="2"/>
      <c r="F33" s="2" t="str">
        <f>IF(ISBLANK(数据源!E58),"",数据源!E58)</f>
        <v/>
      </c>
      <c r="G33" s="2" t="str">
        <f>IF(ISBLANK(数据源!G58),"",IF(数据源!G58="A","合格","不合格"))</f>
        <v/>
      </c>
      <c r="H33" s="2" t="str">
        <f>IF(ISBLANK(数据源!H58),"",数据源!H58)</f>
        <v/>
      </c>
      <c r="I33" s="2" t="str">
        <f>IF(ISBLANK(数据源!J58),"",数据源!J58)</f>
        <v/>
      </c>
      <c r="J33" s="2" t="str">
        <f>IF(ISBLANK(数据源!L58),"",数据源!L58)</f>
        <v/>
      </c>
      <c r="K33" s="1" t="str">
        <f>IF(数据源!AD58="外检","#","")</f>
        <v/>
      </c>
      <c r="L33" s="2" t="str">
        <f>IF(ISBLANK(数据源!U58),"",数据源!U58)</f>
        <v/>
      </c>
      <c r="M33" s="2" t="str">
        <f>IF(ISBLANK(数据源!V58),"",IF(数据源!V58="/",数据源!Y58,数据源!V58))</f>
        <v/>
      </c>
      <c r="N33" s="2" t="str">
        <f>IF(LEN(数据源!AI58)=0,IF(LEN(数据源!W58)=0,"",数据源!W58),数据源!AI58)</f>
        <v/>
      </c>
      <c r="O33" s="1"/>
      <c r="P33" s="2" t="str">
        <f>IF(ISBLANK(数据源!X58),"",数据源!X58)</f>
        <v/>
      </c>
      <c r="Q33" s="2" t="str">
        <f>IF(ISBLANK(数据源!Z58),"",IF(数据源!Z58="A","合格","不合格"))</f>
        <v/>
      </c>
      <c r="R33" s="2" t="str">
        <f>IF(ISBLANK(数据源!AA58),"",数据源!AA58)</f>
        <v/>
      </c>
      <c r="S33" s="2" t="str">
        <f>IF(ISBLANK(数据源!AC58),"",数据源!AC58)</f>
        <v/>
      </c>
      <c r="T33" s="2" t="str">
        <f>IF(ISBLANK(数据源!AE58),"",数据源!AE58)</f>
        <v/>
      </c>
      <c r="Z33" t="s">
        <v>20</v>
      </c>
      <c r="AW33" s="1" t="str">
        <f>IF(数据源!K58="外检","#","")</f>
        <v/>
      </c>
      <c r="AX33" s="2" t="str">
        <f>IF(ISBLANK(数据源!Q58),"",数据源!Q58)</f>
        <v/>
      </c>
      <c r="AY33" s="2" t="str">
        <f>IF(ISBLANK(数据源!R58),"",数据源!R58)</f>
        <v/>
      </c>
      <c r="AZ33" s="2" t="str">
        <f>IF(LEN(数据源!P58)=0,IF(LEN(数据源!D58)=0,"",数据源!D58),数据源!P58)</f>
        <v/>
      </c>
      <c r="BA33" s="2"/>
      <c r="BB33" s="2" t="str">
        <f>IF(ISBLANK(数据源!E58),"",数据源!E58)</f>
        <v/>
      </c>
      <c r="BC33" s="2" t="str">
        <f>IF(ISBLANK(数据源!G58),"",IF(数据源!G58="A","Qualified","Unqualified"))</f>
        <v/>
      </c>
      <c r="BD33" s="2" t="str">
        <f>IF(ISBLANK(数据源!S58),"",数据源!S58)</f>
        <v/>
      </c>
      <c r="BE33" s="2" t="str">
        <f>IF(ISBLANK(数据源!J58),"",数据源!J58)</f>
        <v/>
      </c>
      <c r="BF33" s="2" t="str">
        <f>IF(ISBLANK(数据源!L58),"",数据源!L58)</f>
        <v/>
      </c>
      <c r="BG33" s="1" t="str">
        <f>IF(数据源!AD58="外检","#","")</f>
        <v/>
      </c>
      <c r="BH33" s="2" t="str">
        <f>IF(ISBLANK(数据源!AJ58),"",数据源!AJ58)</f>
        <v/>
      </c>
      <c r="BI33" s="2" t="str">
        <f>IF(ISBLANK(数据源!AK58),"",数据源!AK58)</f>
        <v/>
      </c>
      <c r="BJ33" s="2" t="str">
        <f>IF(LEN(数据源!AI58)=0,IF(LEN(数据源!W58)=0,"",数据源!W58),数据源!AI58)</f>
        <v/>
      </c>
      <c r="BK33" s="1"/>
      <c r="BL33" s="2" t="str">
        <f>IF(ISBLANK(数据源!X58),"",数据源!X58)</f>
        <v/>
      </c>
      <c r="BM33" s="2" t="str">
        <f>IF(ISBLANK(数据源!Z58),"",IF(数据源!Z58="A","Qualified","Unqualified"))</f>
        <v/>
      </c>
      <c r="BN33" s="2" t="str">
        <f>IF(ISBLANK(数据源!AL58),"",数据源!AL58)</f>
        <v/>
      </c>
      <c r="BO33" s="2" t="str">
        <f>IF(ISBLANK(数据源!AC58),"",数据源!AC58)</f>
        <v/>
      </c>
      <c r="BP33" s="2" t="str">
        <f>IF(ISBLANK(数据源!AE58),"",数据源!AE58)</f>
        <v/>
      </c>
      <c r="BV33" t="s">
        <v>20</v>
      </c>
      <c r="BW33" t="s">
        <v>20</v>
      </c>
      <c r="BX33" t="s">
        <v>20</v>
      </c>
      <c r="CP33" s="86" t="str">
        <f>IF(ISBLANK(数据源!AW58),"",数据源!AW58)</f>
        <v/>
      </c>
      <c r="CQ33" s="86"/>
      <c r="CR33" s="86" t="str">
        <f>IF(ISBLANK(数据源!AX58),"",数据源!AX58)</f>
        <v/>
      </c>
      <c r="CS33" s="86" t="str">
        <f>IF(ISBLANK(数据源!AV58),"",数据源!AV58)</f>
        <v/>
      </c>
      <c r="CT33" s="86"/>
      <c r="CU33" s="87" t="s">
        <v>168</v>
      </c>
      <c r="CV33" s="86"/>
      <c r="CW33" s="86" t="str">
        <f>IF(ISBLANK(数据源!AU58),"",数据源!AU58)</f>
        <v/>
      </c>
      <c r="DA33" s="97">
        <f>IF(数据源!L58&lt;&gt;"QA",0,数据源!O58)</f>
        <v>0</v>
      </c>
      <c r="DB33" s="97">
        <f>数据源!M58</f>
        <v>0</v>
      </c>
      <c r="DC33" s="97">
        <f>数据源!N58</f>
        <v>0</v>
      </c>
      <c r="DD33" s="97">
        <f>IF(数据源!L58&lt;&gt;"QC",0,数据源!O58)</f>
        <v>0</v>
      </c>
    </row>
    <row r="34" spans="1:108">
      <c r="A34" s="1" t="str">
        <f>IF(数据源!K59="外检","#","")</f>
        <v/>
      </c>
      <c r="B34" s="2" t="str">
        <f>IF(ISBLANK(数据源!B59),"",数据源!B59)</f>
        <v/>
      </c>
      <c r="C34" s="2" t="str">
        <f>IF(ISBLANK(数据源!C59),"",IF(数据源!C59="/",数据源!F59,数据源!C59))</f>
        <v/>
      </c>
      <c r="D34" s="2" t="str">
        <f>IF(LEN(数据源!P59)=0,IF(LEN(数据源!D59)=0,"",数据源!D59),数据源!P59)</f>
        <v/>
      </c>
      <c r="E34" s="2"/>
      <c r="F34" s="2" t="str">
        <f>IF(ISBLANK(数据源!E59),"",数据源!E59)</f>
        <v/>
      </c>
      <c r="G34" s="2" t="str">
        <f>IF(ISBLANK(数据源!G59),"",IF(数据源!G59="A","合格","不合格"))</f>
        <v/>
      </c>
      <c r="H34" s="2" t="str">
        <f>IF(ISBLANK(数据源!H59),"",数据源!H59)</f>
        <v/>
      </c>
      <c r="I34" s="2" t="str">
        <f>IF(ISBLANK(数据源!J59),"",数据源!J59)</f>
        <v/>
      </c>
      <c r="J34" s="2" t="str">
        <f>IF(ISBLANK(数据源!L59),"",数据源!L59)</f>
        <v/>
      </c>
      <c r="K34" s="1" t="str">
        <f>IF(数据源!AD59="外检","#","")</f>
        <v/>
      </c>
      <c r="L34" s="2" t="str">
        <f>IF(ISBLANK(数据源!U59),"",数据源!U59)</f>
        <v/>
      </c>
      <c r="M34" s="2" t="str">
        <f>IF(ISBLANK(数据源!V59),"",IF(数据源!V59="/",数据源!Y59,数据源!V59))</f>
        <v/>
      </c>
      <c r="N34" s="2" t="str">
        <f>IF(LEN(数据源!AI59)=0,IF(LEN(数据源!W59)=0,"",数据源!W59),数据源!AI59)</f>
        <v/>
      </c>
      <c r="O34" s="1"/>
      <c r="P34" s="2" t="str">
        <f>IF(ISBLANK(数据源!X59),"",数据源!X59)</f>
        <v/>
      </c>
      <c r="Q34" s="2" t="str">
        <f>IF(ISBLANK(数据源!Z59),"",IF(数据源!Z59="A","合格","不合格"))</f>
        <v/>
      </c>
      <c r="R34" s="2" t="str">
        <f>IF(ISBLANK(数据源!AA59),"",数据源!AA59)</f>
        <v/>
      </c>
      <c r="S34" s="2" t="str">
        <f>IF(ISBLANK(数据源!AC59),"",数据源!AC59)</f>
        <v/>
      </c>
      <c r="T34" s="2" t="str">
        <f>IF(ISBLANK(数据源!AE59),"",数据源!AE59)</f>
        <v/>
      </c>
      <c r="Z34" t="s">
        <v>20</v>
      </c>
      <c r="AW34" s="1" t="str">
        <f>IF(数据源!K59="外检","#","")</f>
        <v/>
      </c>
      <c r="AX34" s="2" t="str">
        <f>IF(ISBLANK(数据源!Q59),"",数据源!Q59)</f>
        <v/>
      </c>
      <c r="AY34" s="2" t="str">
        <f>IF(ISBLANK(数据源!R59),"",数据源!R59)</f>
        <v/>
      </c>
      <c r="AZ34" s="2" t="str">
        <f>IF(LEN(数据源!P59)=0,IF(LEN(数据源!D59)=0,"",数据源!D59),数据源!P59)</f>
        <v/>
      </c>
      <c r="BA34" s="2"/>
      <c r="BB34" s="2" t="str">
        <f>IF(ISBLANK(数据源!E59),"",数据源!E59)</f>
        <v/>
      </c>
      <c r="BC34" s="2" t="str">
        <f>IF(ISBLANK(数据源!G59),"",IF(数据源!G59="A","Qualified","Unqualified"))</f>
        <v/>
      </c>
      <c r="BD34" s="2" t="str">
        <f>IF(ISBLANK(数据源!S59),"",数据源!S59)</f>
        <v/>
      </c>
      <c r="BE34" s="2" t="str">
        <f>IF(ISBLANK(数据源!J59),"",数据源!J59)</f>
        <v/>
      </c>
      <c r="BF34" s="2" t="str">
        <f>IF(ISBLANK(数据源!L59),"",数据源!L59)</f>
        <v/>
      </c>
      <c r="BG34" s="1" t="str">
        <f>IF(数据源!AD59="外检","#","")</f>
        <v/>
      </c>
      <c r="BH34" s="2" t="str">
        <f>IF(ISBLANK(数据源!AJ59),"",数据源!AJ59)</f>
        <v/>
      </c>
      <c r="BI34" s="2" t="str">
        <f>IF(ISBLANK(数据源!AK59),"",数据源!AK59)</f>
        <v/>
      </c>
      <c r="BJ34" s="2" t="str">
        <f>IF(LEN(数据源!AI59)=0,IF(LEN(数据源!W59)=0,"",数据源!W59),数据源!AI59)</f>
        <v/>
      </c>
      <c r="BK34" s="1"/>
      <c r="BL34" s="2" t="str">
        <f>IF(ISBLANK(数据源!X59),"",数据源!X59)</f>
        <v/>
      </c>
      <c r="BM34" s="2" t="str">
        <f>IF(ISBLANK(数据源!Z59),"",IF(数据源!Z59="A","Qualified","Unqualified"))</f>
        <v/>
      </c>
      <c r="BN34" s="2" t="str">
        <f>IF(ISBLANK(数据源!AL59),"",数据源!AL59)</f>
        <v/>
      </c>
      <c r="BO34" s="2" t="str">
        <f>IF(ISBLANK(数据源!AC59),"",数据源!AC59)</f>
        <v/>
      </c>
      <c r="BP34" s="2" t="str">
        <f>IF(ISBLANK(数据源!AE59),"",数据源!AE59)</f>
        <v/>
      </c>
      <c r="BV34" t="s">
        <v>20</v>
      </c>
      <c r="BW34" t="s">
        <v>20</v>
      </c>
      <c r="BX34" t="s">
        <v>20</v>
      </c>
      <c r="CP34" s="86" t="str">
        <f>IF(ISBLANK(数据源!AW59),"",数据源!AW59)</f>
        <v/>
      </c>
      <c r="CQ34" s="86"/>
      <c r="CR34" s="86" t="str">
        <f>IF(ISBLANK(数据源!AX59),"",数据源!AX59)</f>
        <v/>
      </c>
      <c r="CS34" s="86" t="str">
        <f>IF(ISBLANK(数据源!AV59),"",数据源!AV59)</f>
        <v/>
      </c>
      <c r="CT34" s="86"/>
      <c r="CU34" s="87" t="s">
        <v>168</v>
      </c>
      <c r="CV34" s="86"/>
      <c r="CW34" s="86" t="str">
        <f>IF(ISBLANK(数据源!AU59),"",数据源!AU59)</f>
        <v/>
      </c>
      <c r="DA34" s="97">
        <f>IF(数据源!L59&lt;&gt;"QA",0,数据源!O59)</f>
        <v>0</v>
      </c>
      <c r="DB34" s="97">
        <f>数据源!M59</f>
        <v>0</v>
      </c>
      <c r="DC34" s="97">
        <f>数据源!N59</f>
        <v>0</v>
      </c>
      <c r="DD34" s="97">
        <f>IF(数据源!L59&lt;&gt;"QC",0,数据源!O59)</f>
        <v>0</v>
      </c>
    </row>
    <row r="35" spans="1:108">
      <c r="A35" s="1" t="str">
        <f>IF(数据源!K60="外检","#","")</f>
        <v/>
      </c>
      <c r="B35" s="2" t="str">
        <f>IF(ISBLANK(数据源!B60),"",数据源!B60)</f>
        <v/>
      </c>
      <c r="C35" s="2" t="str">
        <f>IF(ISBLANK(数据源!C60),"",IF(数据源!C60="/",数据源!F60,数据源!C60))</f>
        <v/>
      </c>
      <c r="D35" s="2" t="str">
        <f>IF(LEN(数据源!P60)=0,IF(LEN(数据源!D60)=0,"",数据源!D60),数据源!P60)</f>
        <v/>
      </c>
      <c r="E35" s="2"/>
      <c r="F35" s="2" t="str">
        <f>IF(ISBLANK(数据源!E60),"",数据源!E60)</f>
        <v/>
      </c>
      <c r="G35" s="2" t="str">
        <f>IF(ISBLANK(数据源!G60),"",IF(数据源!G60="A","合格","不合格"))</f>
        <v/>
      </c>
      <c r="H35" s="2" t="str">
        <f>IF(ISBLANK(数据源!H60),"",数据源!H60)</f>
        <v/>
      </c>
      <c r="I35" s="2" t="str">
        <f>IF(ISBLANK(数据源!J60),"",数据源!J60)</f>
        <v/>
      </c>
      <c r="J35" s="2" t="str">
        <f>IF(ISBLANK(数据源!L60),"",数据源!L60)</f>
        <v/>
      </c>
      <c r="K35" s="1" t="str">
        <f>IF(数据源!AD60="外检","#","")</f>
        <v/>
      </c>
      <c r="L35" s="2" t="str">
        <f>IF(ISBLANK(数据源!U60),"",数据源!U60)</f>
        <v/>
      </c>
      <c r="M35" s="2" t="str">
        <f>IF(ISBLANK(数据源!V60),"",IF(数据源!V60="/",数据源!Y60,数据源!V60))</f>
        <v/>
      </c>
      <c r="N35" s="2" t="str">
        <f>IF(LEN(数据源!AI60)=0,IF(LEN(数据源!W60)=0,"",数据源!W60),数据源!AI60)</f>
        <v/>
      </c>
      <c r="O35" s="1"/>
      <c r="P35" s="2" t="str">
        <f>IF(ISBLANK(数据源!X60),"",数据源!X60)</f>
        <v/>
      </c>
      <c r="Q35" s="2" t="str">
        <f>IF(ISBLANK(数据源!Z60),"",IF(数据源!Z60="A","合格","不合格"))</f>
        <v/>
      </c>
      <c r="R35" s="2" t="str">
        <f>IF(ISBLANK(数据源!AA60),"",数据源!AA60)</f>
        <v/>
      </c>
      <c r="S35" s="2" t="str">
        <f>IF(ISBLANK(数据源!AC60),"",数据源!AC60)</f>
        <v/>
      </c>
      <c r="T35" s="2" t="str">
        <f>IF(ISBLANK(数据源!AE60),"",数据源!AE60)</f>
        <v/>
      </c>
      <c r="Z35" t="s">
        <v>20</v>
      </c>
      <c r="AW35" s="1" t="str">
        <f>IF(数据源!K60="外检","#","")</f>
        <v/>
      </c>
      <c r="AX35" s="2" t="str">
        <f>IF(ISBLANK(数据源!Q60),"",数据源!Q60)</f>
        <v/>
      </c>
      <c r="AY35" s="2" t="str">
        <f>IF(ISBLANK(数据源!R60),"",数据源!R60)</f>
        <v/>
      </c>
      <c r="AZ35" s="2" t="str">
        <f>IF(LEN(数据源!P60)=0,IF(LEN(数据源!D60)=0,"",数据源!D60),数据源!P60)</f>
        <v/>
      </c>
      <c r="BA35" s="2"/>
      <c r="BB35" s="2" t="str">
        <f>IF(ISBLANK(数据源!E60),"",数据源!E60)</f>
        <v/>
      </c>
      <c r="BC35" s="2" t="str">
        <f>IF(ISBLANK(数据源!G60),"",IF(数据源!G60="A","Qualified","Unqualified"))</f>
        <v/>
      </c>
      <c r="BD35" s="2" t="str">
        <f>IF(ISBLANK(数据源!S60),"",数据源!S60)</f>
        <v/>
      </c>
      <c r="BE35" s="2" t="str">
        <f>IF(ISBLANK(数据源!J60),"",数据源!J60)</f>
        <v/>
      </c>
      <c r="BF35" s="2" t="str">
        <f>IF(ISBLANK(数据源!L60),"",数据源!L60)</f>
        <v/>
      </c>
      <c r="BG35" s="1" t="str">
        <f>IF(数据源!AD60="外检","#","")</f>
        <v/>
      </c>
      <c r="BH35" s="2" t="str">
        <f>IF(ISBLANK(数据源!AJ60),"",数据源!AJ60)</f>
        <v/>
      </c>
      <c r="BI35" s="2" t="str">
        <f>IF(ISBLANK(数据源!AK60),"",数据源!AK60)</f>
        <v/>
      </c>
      <c r="BJ35" s="2" t="str">
        <f>IF(LEN(数据源!AI60)=0,IF(LEN(数据源!W60)=0,"",数据源!W60),数据源!AI60)</f>
        <v/>
      </c>
      <c r="BK35" s="1"/>
      <c r="BL35" s="2" t="str">
        <f>IF(ISBLANK(数据源!X60),"",数据源!X60)</f>
        <v/>
      </c>
      <c r="BM35" s="2" t="str">
        <f>IF(ISBLANK(数据源!Z60),"",IF(数据源!Z60="A","Qualified","Unqualified"))</f>
        <v/>
      </c>
      <c r="BN35" s="2" t="str">
        <f>IF(ISBLANK(数据源!AL60),"",数据源!AL60)</f>
        <v/>
      </c>
      <c r="BO35" s="2" t="str">
        <f>IF(ISBLANK(数据源!AC60),"",数据源!AC60)</f>
        <v/>
      </c>
      <c r="BP35" s="2" t="str">
        <f>IF(ISBLANK(数据源!AE60),"",数据源!AE60)</f>
        <v/>
      </c>
      <c r="BV35" t="s">
        <v>20</v>
      </c>
      <c r="BW35" t="s">
        <v>20</v>
      </c>
      <c r="BX35" t="s">
        <v>20</v>
      </c>
      <c r="CP35" s="86" t="str">
        <f>IF(ISBLANK(数据源!AW60),"",数据源!AW60)</f>
        <v/>
      </c>
      <c r="CQ35" s="86"/>
      <c r="CR35" s="86" t="str">
        <f>IF(ISBLANK(数据源!AX60),"",数据源!AX60)</f>
        <v/>
      </c>
      <c r="CS35" s="86" t="str">
        <f>IF(ISBLANK(数据源!AV60),"",数据源!AV60)</f>
        <v/>
      </c>
      <c r="CT35" s="86"/>
      <c r="CU35" s="87" t="s">
        <v>168</v>
      </c>
      <c r="CV35" s="86"/>
      <c r="CW35" s="86" t="str">
        <f>IF(ISBLANK(数据源!AU60),"",数据源!AU60)</f>
        <v/>
      </c>
      <c r="DA35" s="97">
        <f>IF(数据源!L60&lt;&gt;"QA",0,数据源!O60)</f>
        <v>0</v>
      </c>
      <c r="DB35" s="97">
        <f>数据源!M60</f>
        <v>0</v>
      </c>
      <c r="DC35" s="97">
        <f>数据源!N60</f>
        <v>0</v>
      </c>
      <c r="DD35" s="97">
        <f>IF(数据源!L60&lt;&gt;"QC",0,数据源!O60)</f>
        <v>0</v>
      </c>
    </row>
    <row r="36" spans="1:108">
      <c r="A36" s="1" t="str">
        <f>IF(数据源!K61="外检","#","")</f>
        <v/>
      </c>
      <c r="B36" s="2" t="str">
        <f>IF(ISBLANK(数据源!B61),"",数据源!B61)</f>
        <v/>
      </c>
      <c r="C36" s="2" t="str">
        <f>IF(ISBLANK(数据源!C61),"",IF(数据源!C61="/",数据源!F61,数据源!C61))</f>
        <v/>
      </c>
      <c r="D36" s="2" t="str">
        <f>IF(LEN(数据源!P61)=0,IF(LEN(数据源!D61)=0,"",数据源!D61),数据源!P61)</f>
        <v/>
      </c>
      <c r="E36" s="2"/>
      <c r="F36" s="2" t="str">
        <f>IF(ISBLANK(数据源!E61),"",数据源!E61)</f>
        <v/>
      </c>
      <c r="G36" s="2" t="str">
        <f>IF(ISBLANK(数据源!G61),"",IF(数据源!G61="A","合格","不合格"))</f>
        <v/>
      </c>
      <c r="H36" s="2" t="str">
        <f>IF(ISBLANK(数据源!H61),"",数据源!H61)</f>
        <v/>
      </c>
      <c r="I36" s="2" t="str">
        <f>IF(ISBLANK(数据源!J61),"",数据源!J61)</f>
        <v/>
      </c>
      <c r="J36" s="2" t="str">
        <f>IF(ISBLANK(数据源!L61),"",数据源!L61)</f>
        <v/>
      </c>
      <c r="K36" s="1" t="str">
        <f>IF(数据源!AD61="外检","#","")</f>
        <v/>
      </c>
      <c r="L36" s="2" t="str">
        <f>IF(ISBLANK(数据源!U61),"",数据源!U61)</f>
        <v/>
      </c>
      <c r="M36" s="2" t="str">
        <f>IF(ISBLANK(数据源!V61),"",IF(数据源!V61="/",数据源!Y61,数据源!V61))</f>
        <v/>
      </c>
      <c r="N36" s="2" t="str">
        <f>IF(LEN(数据源!AI61)=0,IF(LEN(数据源!W61)=0,"",数据源!W61),数据源!AI61)</f>
        <v/>
      </c>
      <c r="O36" s="1"/>
      <c r="P36" s="2" t="str">
        <f>IF(ISBLANK(数据源!X61),"",数据源!X61)</f>
        <v/>
      </c>
      <c r="Q36" s="2" t="str">
        <f>IF(ISBLANK(数据源!Z61),"",IF(数据源!Z61="A","合格","不合格"))</f>
        <v/>
      </c>
      <c r="R36" s="2" t="str">
        <f>IF(ISBLANK(数据源!AA61),"",数据源!AA61)</f>
        <v/>
      </c>
      <c r="S36" s="2" t="str">
        <f>IF(ISBLANK(数据源!AC61),"",数据源!AC61)</f>
        <v/>
      </c>
      <c r="T36" s="2" t="str">
        <f>IF(ISBLANK(数据源!AE61),"",数据源!AE61)</f>
        <v/>
      </c>
      <c r="Z36" t="s">
        <v>20</v>
      </c>
      <c r="AW36" s="1" t="str">
        <f>IF(数据源!K61="外检","#","")</f>
        <v/>
      </c>
      <c r="AX36" s="2" t="str">
        <f>IF(ISBLANK(数据源!Q61),"",数据源!Q61)</f>
        <v/>
      </c>
      <c r="AY36" s="2" t="str">
        <f>IF(ISBLANK(数据源!R61),"",数据源!R61)</f>
        <v/>
      </c>
      <c r="AZ36" s="2" t="str">
        <f>IF(LEN(数据源!P61)=0,IF(LEN(数据源!D61)=0,"",数据源!D61),数据源!P61)</f>
        <v/>
      </c>
      <c r="BA36" s="2"/>
      <c r="BB36" s="2" t="str">
        <f>IF(ISBLANK(数据源!E61),"",数据源!E61)</f>
        <v/>
      </c>
      <c r="BC36" s="2" t="str">
        <f>IF(ISBLANK(数据源!G61),"",IF(数据源!G61="A","Qualified","Unqualified"))</f>
        <v/>
      </c>
      <c r="BD36" s="2" t="str">
        <f>IF(ISBLANK(数据源!S61),"",数据源!S61)</f>
        <v/>
      </c>
      <c r="BE36" s="2" t="str">
        <f>IF(ISBLANK(数据源!J61),"",数据源!J61)</f>
        <v/>
      </c>
      <c r="BF36" s="2" t="str">
        <f>IF(ISBLANK(数据源!L61),"",数据源!L61)</f>
        <v/>
      </c>
      <c r="BG36" s="1" t="str">
        <f>IF(数据源!AD61="外检","#","")</f>
        <v/>
      </c>
      <c r="BH36" s="2" t="str">
        <f>IF(ISBLANK(数据源!AJ61),"",数据源!AJ61)</f>
        <v/>
      </c>
      <c r="BI36" s="2" t="str">
        <f>IF(ISBLANK(数据源!AK61),"",数据源!AK61)</f>
        <v/>
      </c>
      <c r="BJ36" s="2" t="str">
        <f>IF(LEN(数据源!AI61)=0,IF(LEN(数据源!W61)=0,"",数据源!W61),数据源!AI61)</f>
        <v/>
      </c>
      <c r="BK36" s="1"/>
      <c r="BL36" s="2" t="str">
        <f>IF(ISBLANK(数据源!X61),"",数据源!X61)</f>
        <v/>
      </c>
      <c r="BM36" s="2" t="str">
        <f>IF(ISBLANK(数据源!Z61),"",IF(数据源!Z61="A","Qualified","Unqualified"))</f>
        <v/>
      </c>
      <c r="BN36" s="2" t="str">
        <f>IF(ISBLANK(数据源!AL61),"",数据源!AL61)</f>
        <v/>
      </c>
      <c r="BO36" s="2" t="str">
        <f>IF(ISBLANK(数据源!AC61),"",数据源!AC61)</f>
        <v/>
      </c>
      <c r="BP36" s="2" t="str">
        <f>IF(ISBLANK(数据源!AE61),"",数据源!AE61)</f>
        <v/>
      </c>
      <c r="BV36" t="s">
        <v>20</v>
      </c>
      <c r="BW36" t="s">
        <v>20</v>
      </c>
      <c r="BX36" t="s">
        <v>20</v>
      </c>
      <c r="CP36" s="86" t="str">
        <f>IF(ISBLANK(数据源!AW61),"",数据源!AW61)</f>
        <v/>
      </c>
      <c r="CQ36" s="86"/>
      <c r="CR36" s="86" t="str">
        <f>IF(ISBLANK(数据源!AX61),"",数据源!AX61)</f>
        <v/>
      </c>
      <c r="CS36" s="86" t="str">
        <f>IF(ISBLANK(数据源!AV61),"",数据源!AV61)</f>
        <v/>
      </c>
      <c r="CT36" s="86"/>
      <c r="CU36" s="87" t="s">
        <v>168</v>
      </c>
      <c r="CV36" s="86"/>
      <c r="CW36" s="86" t="str">
        <f>IF(ISBLANK(数据源!AU61),"",数据源!AU61)</f>
        <v/>
      </c>
      <c r="DA36" s="97">
        <f>IF(数据源!L61&lt;&gt;"QA",0,数据源!O61)</f>
        <v>0</v>
      </c>
      <c r="DB36" s="97">
        <f>数据源!M61</f>
        <v>0</v>
      </c>
      <c r="DC36" s="97">
        <f>数据源!N61</f>
        <v>0</v>
      </c>
      <c r="DD36" s="97">
        <f>IF(数据源!L61&lt;&gt;"QC",0,数据源!O61)</f>
        <v>0</v>
      </c>
    </row>
    <row r="37" spans="1:108">
      <c r="A37" s="1" t="str">
        <f>IF(数据源!K62="外检","#","")</f>
        <v/>
      </c>
      <c r="B37" s="2" t="str">
        <f>IF(ISBLANK(数据源!B62),"",数据源!B62)</f>
        <v/>
      </c>
      <c r="C37" s="2" t="str">
        <f>IF(ISBLANK(数据源!C62),"",IF(数据源!C62="/",数据源!F62,数据源!C62))</f>
        <v/>
      </c>
      <c r="D37" s="2" t="str">
        <f>IF(LEN(数据源!P62)=0,IF(LEN(数据源!D62)=0,"",数据源!D62),数据源!P62)</f>
        <v/>
      </c>
      <c r="E37" s="2"/>
      <c r="F37" s="2" t="str">
        <f>IF(ISBLANK(数据源!E62),"",数据源!E62)</f>
        <v/>
      </c>
      <c r="G37" s="2" t="str">
        <f>IF(ISBLANK(数据源!G62),"",IF(数据源!G62="A","合格","不合格"))</f>
        <v/>
      </c>
      <c r="H37" s="2" t="str">
        <f>IF(ISBLANK(数据源!H62),"",数据源!H62)</f>
        <v/>
      </c>
      <c r="I37" s="2" t="str">
        <f>IF(ISBLANK(数据源!J62),"",数据源!J62)</f>
        <v/>
      </c>
      <c r="J37" s="2" t="str">
        <f>IF(ISBLANK(数据源!L62),"",数据源!L62)</f>
        <v/>
      </c>
      <c r="K37" s="1" t="str">
        <f>IF(数据源!AD62="外检","#","")</f>
        <v/>
      </c>
      <c r="L37" s="2" t="str">
        <f>IF(ISBLANK(数据源!U62),"",数据源!U62)</f>
        <v/>
      </c>
      <c r="M37" s="2" t="str">
        <f>IF(ISBLANK(数据源!V62),"",IF(数据源!V62="/",数据源!Y62,数据源!V62))</f>
        <v/>
      </c>
      <c r="N37" s="2" t="str">
        <f>IF(LEN(数据源!AI62)=0,IF(LEN(数据源!W62)=0,"",数据源!W62),数据源!AI62)</f>
        <v/>
      </c>
      <c r="O37" s="1"/>
      <c r="P37" s="2" t="str">
        <f>IF(ISBLANK(数据源!X62),"",数据源!X62)</f>
        <v/>
      </c>
      <c r="Q37" s="2" t="str">
        <f>IF(ISBLANK(数据源!Z62),"",IF(数据源!Z62="A","合格","不合格"))</f>
        <v/>
      </c>
      <c r="R37" s="2" t="str">
        <f>IF(ISBLANK(数据源!AA62),"",数据源!AA62)</f>
        <v/>
      </c>
      <c r="S37" s="2" t="str">
        <f>IF(ISBLANK(数据源!AC62),"",数据源!AC62)</f>
        <v/>
      </c>
      <c r="T37" s="2" t="str">
        <f>IF(ISBLANK(数据源!AE62),"",数据源!AE62)</f>
        <v/>
      </c>
      <c r="Z37" t="s">
        <v>20</v>
      </c>
      <c r="AW37" s="1" t="str">
        <f>IF(数据源!K62="外检","#","")</f>
        <v/>
      </c>
      <c r="AX37" s="2" t="str">
        <f>IF(ISBLANK(数据源!Q62),"",数据源!Q62)</f>
        <v/>
      </c>
      <c r="AY37" s="2" t="str">
        <f>IF(ISBLANK(数据源!R62),"",数据源!R62)</f>
        <v/>
      </c>
      <c r="AZ37" s="2" t="str">
        <f>IF(LEN(数据源!P62)=0,IF(LEN(数据源!D62)=0,"",数据源!D62),数据源!P62)</f>
        <v/>
      </c>
      <c r="BA37" s="2"/>
      <c r="BB37" s="2" t="str">
        <f>IF(ISBLANK(数据源!E62),"",数据源!E62)</f>
        <v/>
      </c>
      <c r="BC37" s="2" t="str">
        <f>IF(ISBLANK(数据源!G62),"",IF(数据源!G62="A","Qualified","Unqualified"))</f>
        <v/>
      </c>
      <c r="BD37" s="2" t="str">
        <f>IF(ISBLANK(数据源!S62),"",数据源!S62)</f>
        <v/>
      </c>
      <c r="BE37" s="2" t="str">
        <f>IF(ISBLANK(数据源!J62),"",数据源!J62)</f>
        <v/>
      </c>
      <c r="BF37" s="2" t="str">
        <f>IF(ISBLANK(数据源!L62),"",数据源!L62)</f>
        <v/>
      </c>
      <c r="BG37" s="1" t="str">
        <f>IF(数据源!AD62="外检","#","")</f>
        <v/>
      </c>
      <c r="BH37" s="2" t="str">
        <f>IF(ISBLANK(数据源!AJ62),"",数据源!AJ62)</f>
        <v/>
      </c>
      <c r="BI37" s="2" t="str">
        <f>IF(ISBLANK(数据源!AK62),"",数据源!AK62)</f>
        <v/>
      </c>
      <c r="BJ37" s="2" t="str">
        <f>IF(LEN(数据源!AI62)=0,IF(LEN(数据源!W62)=0,"",数据源!W62),数据源!AI62)</f>
        <v/>
      </c>
      <c r="BK37" s="1"/>
      <c r="BL37" s="2" t="str">
        <f>IF(ISBLANK(数据源!X62),"",数据源!X62)</f>
        <v/>
      </c>
      <c r="BM37" s="2" t="str">
        <f>IF(ISBLANK(数据源!Z62),"",IF(数据源!Z62="A","Qualified","Unqualified"))</f>
        <v/>
      </c>
      <c r="BN37" s="2" t="str">
        <f>IF(ISBLANK(数据源!AL62),"",数据源!AL62)</f>
        <v/>
      </c>
      <c r="BO37" s="2" t="str">
        <f>IF(ISBLANK(数据源!AC62),"",数据源!AC62)</f>
        <v/>
      </c>
      <c r="BP37" s="2" t="str">
        <f>IF(ISBLANK(数据源!AE62),"",数据源!AE62)</f>
        <v/>
      </c>
      <c r="BV37" t="s">
        <v>20</v>
      </c>
      <c r="BW37" t="s">
        <v>20</v>
      </c>
      <c r="BX37" t="s">
        <v>20</v>
      </c>
      <c r="CP37" s="86" t="str">
        <f>IF(ISBLANK(数据源!AW62),"",数据源!AW62)</f>
        <v/>
      </c>
      <c r="CQ37" s="86"/>
      <c r="CR37" s="86" t="str">
        <f>IF(ISBLANK(数据源!AX62),"",数据源!AX62)</f>
        <v/>
      </c>
      <c r="CS37" s="86" t="str">
        <f>IF(ISBLANK(数据源!AV62),"",数据源!AV62)</f>
        <v/>
      </c>
      <c r="CT37" s="86"/>
      <c r="CU37" s="87" t="s">
        <v>168</v>
      </c>
      <c r="CV37" s="86"/>
      <c r="CW37" s="86" t="str">
        <f>IF(ISBLANK(数据源!AU62),"",数据源!AU62)</f>
        <v/>
      </c>
      <c r="DA37" s="97">
        <f>IF(数据源!L62&lt;&gt;"QA",0,数据源!O62)</f>
        <v>0</v>
      </c>
      <c r="DB37" s="97">
        <f>数据源!M62</f>
        <v>0</v>
      </c>
      <c r="DC37" s="97">
        <f>数据源!N62</f>
        <v>0</v>
      </c>
      <c r="DD37" s="97">
        <f>IF(数据源!L62&lt;&gt;"QC",0,数据源!O62)</f>
        <v>0</v>
      </c>
    </row>
    <row r="38" spans="1:108">
      <c r="A38" s="1" t="str">
        <f>IF(数据源!K63="外检","#","")</f>
        <v/>
      </c>
      <c r="B38" s="2" t="str">
        <f>IF(ISBLANK(数据源!B63),"",数据源!B63)</f>
        <v/>
      </c>
      <c r="C38" s="2" t="str">
        <f>IF(ISBLANK(数据源!C63),"",IF(数据源!C63="/",数据源!F63,数据源!C63))</f>
        <v/>
      </c>
      <c r="D38" s="2" t="str">
        <f>IF(LEN(数据源!P63)=0,IF(LEN(数据源!D63)=0,"",数据源!D63),数据源!P63)</f>
        <v/>
      </c>
      <c r="E38" s="2"/>
      <c r="F38" s="2" t="str">
        <f>IF(ISBLANK(数据源!E63),"",数据源!E63)</f>
        <v/>
      </c>
      <c r="G38" s="2" t="str">
        <f>IF(ISBLANK(数据源!G63),"",IF(数据源!G63="A","合格","不合格"))</f>
        <v/>
      </c>
      <c r="H38" s="2" t="str">
        <f>IF(ISBLANK(数据源!H63),"",数据源!H63)</f>
        <v/>
      </c>
      <c r="I38" s="2" t="str">
        <f>IF(ISBLANK(数据源!J63),"",数据源!J63)</f>
        <v/>
      </c>
      <c r="J38" s="2" t="str">
        <f>IF(ISBLANK(数据源!L63),"",数据源!L63)</f>
        <v/>
      </c>
      <c r="K38" s="1" t="str">
        <f>IF(数据源!AD63="外检","#","")</f>
        <v/>
      </c>
      <c r="L38" s="2" t="str">
        <f>IF(ISBLANK(数据源!U63),"",数据源!U63)</f>
        <v/>
      </c>
      <c r="M38" s="2" t="str">
        <f>IF(ISBLANK(数据源!V63),"",IF(数据源!V63="/",数据源!Y63,数据源!V63))</f>
        <v/>
      </c>
      <c r="N38" s="2" t="str">
        <f>IF(LEN(数据源!AI63)=0,IF(LEN(数据源!W63)=0,"",数据源!W63),数据源!AI63)</f>
        <v/>
      </c>
      <c r="O38" s="1"/>
      <c r="P38" s="2" t="str">
        <f>IF(ISBLANK(数据源!X63),"",数据源!X63)</f>
        <v/>
      </c>
      <c r="Q38" s="2" t="str">
        <f>IF(ISBLANK(数据源!Z63),"",IF(数据源!Z63="A","合格","不合格"))</f>
        <v/>
      </c>
      <c r="R38" s="2" t="str">
        <f>IF(ISBLANK(数据源!AA63),"",数据源!AA63)</f>
        <v/>
      </c>
      <c r="S38" s="2" t="str">
        <f>IF(ISBLANK(数据源!AC63),"",数据源!AC63)</f>
        <v/>
      </c>
      <c r="T38" s="2" t="str">
        <f>IF(ISBLANK(数据源!AE63),"",数据源!AE63)</f>
        <v/>
      </c>
      <c r="Z38" t="s">
        <v>20</v>
      </c>
      <c r="AW38" s="1" t="str">
        <f>IF(数据源!K63="外检","#","")</f>
        <v/>
      </c>
      <c r="AX38" s="2" t="str">
        <f>IF(ISBLANK(数据源!Q63),"",数据源!Q63)</f>
        <v/>
      </c>
      <c r="AY38" s="2" t="str">
        <f>IF(ISBLANK(数据源!R63),"",数据源!R63)</f>
        <v/>
      </c>
      <c r="AZ38" s="2" t="str">
        <f>IF(LEN(数据源!P63)=0,IF(LEN(数据源!D63)=0,"",数据源!D63),数据源!P63)</f>
        <v/>
      </c>
      <c r="BA38" s="2"/>
      <c r="BB38" s="2" t="str">
        <f>IF(ISBLANK(数据源!E63),"",数据源!E63)</f>
        <v/>
      </c>
      <c r="BC38" s="2" t="str">
        <f>IF(ISBLANK(数据源!G63),"",IF(数据源!G63="A","Qualified","Unqualified"))</f>
        <v/>
      </c>
      <c r="BD38" s="2" t="str">
        <f>IF(ISBLANK(数据源!S63),"",数据源!S63)</f>
        <v/>
      </c>
      <c r="BE38" s="2" t="str">
        <f>IF(ISBLANK(数据源!J63),"",数据源!J63)</f>
        <v/>
      </c>
      <c r="BF38" s="2" t="str">
        <f>IF(ISBLANK(数据源!L63),"",数据源!L63)</f>
        <v/>
      </c>
      <c r="BG38" s="1" t="str">
        <f>IF(数据源!AD63="外检","#","")</f>
        <v/>
      </c>
      <c r="BH38" s="2" t="str">
        <f>IF(ISBLANK(数据源!AJ63),"",数据源!AJ63)</f>
        <v/>
      </c>
      <c r="BI38" s="2" t="str">
        <f>IF(ISBLANK(数据源!AK63),"",数据源!AK63)</f>
        <v/>
      </c>
      <c r="BJ38" s="2" t="str">
        <f>IF(LEN(数据源!AI63)=0,IF(LEN(数据源!W63)=0,"",数据源!W63),数据源!AI63)</f>
        <v/>
      </c>
      <c r="BK38" s="1"/>
      <c r="BL38" s="2" t="str">
        <f>IF(ISBLANK(数据源!X63),"",数据源!X63)</f>
        <v/>
      </c>
      <c r="BM38" s="2" t="str">
        <f>IF(ISBLANK(数据源!Z63),"",IF(数据源!Z63="A","Qualified","Unqualified"))</f>
        <v/>
      </c>
      <c r="BN38" s="2" t="str">
        <f>IF(ISBLANK(数据源!AL63),"",数据源!AL63)</f>
        <v/>
      </c>
      <c r="BO38" s="2" t="str">
        <f>IF(ISBLANK(数据源!AC63),"",数据源!AC63)</f>
        <v/>
      </c>
      <c r="BP38" s="2" t="str">
        <f>IF(ISBLANK(数据源!AE63),"",数据源!AE63)</f>
        <v/>
      </c>
      <c r="BV38" t="s">
        <v>20</v>
      </c>
      <c r="BW38" t="s">
        <v>20</v>
      </c>
      <c r="BX38" t="s">
        <v>20</v>
      </c>
      <c r="CP38" s="86" t="str">
        <f>IF(ISBLANK(数据源!AW63),"",数据源!AW63)</f>
        <v/>
      </c>
      <c r="CQ38" s="86"/>
      <c r="CR38" s="86" t="str">
        <f>IF(ISBLANK(数据源!AX63),"",数据源!AX63)</f>
        <v/>
      </c>
      <c r="CS38" s="86" t="str">
        <f>IF(ISBLANK(数据源!AV63),"",数据源!AV63)</f>
        <v/>
      </c>
      <c r="CT38" s="86"/>
      <c r="CU38" s="87" t="s">
        <v>168</v>
      </c>
      <c r="CV38" s="86"/>
      <c r="CW38" s="86" t="str">
        <f>IF(ISBLANK(数据源!AU63),"",数据源!AU63)</f>
        <v/>
      </c>
      <c r="DA38" s="97">
        <f>IF(数据源!L63&lt;&gt;"QA",0,数据源!O63)</f>
        <v>0</v>
      </c>
      <c r="DB38" s="97">
        <f>数据源!M63</f>
        <v>0</v>
      </c>
      <c r="DC38" s="97">
        <f>数据源!N63</f>
        <v>0</v>
      </c>
      <c r="DD38" s="97">
        <f>IF(数据源!L63&lt;&gt;"QC",0,数据源!O63)</f>
        <v>0</v>
      </c>
    </row>
    <row r="39" spans="1:108">
      <c r="A39" s="1" t="str">
        <f>IF(数据源!K64="外检","#","")</f>
        <v/>
      </c>
      <c r="B39" s="2" t="str">
        <f>IF(ISBLANK(数据源!B64),"",数据源!B64)</f>
        <v/>
      </c>
      <c r="C39" s="2" t="str">
        <f>IF(ISBLANK(数据源!C64),"",IF(数据源!C64="/",数据源!F64,数据源!C64))</f>
        <v/>
      </c>
      <c r="D39" s="2" t="str">
        <f>IF(LEN(数据源!P64)=0,IF(LEN(数据源!D64)=0,"",数据源!D64),数据源!P64)</f>
        <v/>
      </c>
      <c r="E39" s="2"/>
      <c r="F39" s="2" t="str">
        <f>IF(ISBLANK(数据源!E64),"",数据源!E64)</f>
        <v/>
      </c>
      <c r="G39" s="2" t="str">
        <f>IF(ISBLANK(数据源!G64),"",IF(数据源!G64="A","合格","不合格"))</f>
        <v/>
      </c>
      <c r="H39" s="2" t="str">
        <f>IF(ISBLANK(数据源!H64),"",数据源!H64)</f>
        <v/>
      </c>
      <c r="I39" s="2" t="str">
        <f>IF(ISBLANK(数据源!J64),"",数据源!J64)</f>
        <v/>
      </c>
      <c r="J39" s="2" t="str">
        <f>IF(ISBLANK(数据源!L64),"",数据源!L64)</f>
        <v/>
      </c>
      <c r="K39" s="1" t="str">
        <f>IF(数据源!AD64="外检","#","")</f>
        <v/>
      </c>
      <c r="L39" s="2" t="str">
        <f>IF(ISBLANK(数据源!U64),"",数据源!U64)</f>
        <v/>
      </c>
      <c r="M39" s="2" t="str">
        <f>IF(ISBLANK(数据源!V64),"",IF(数据源!V64="/",数据源!Y64,数据源!V64))</f>
        <v/>
      </c>
      <c r="N39" s="2" t="str">
        <f>IF(LEN(数据源!AI64)=0,IF(LEN(数据源!W64)=0,"",数据源!W64),数据源!AI64)</f>
        <v/>
      </c>
      <c r="O39" s="1"/>
      <c r="P39" s="2" t="str">
        <f>IF(ISBLANK(数据源!X64),"",数据源!X64)</f>
        <v/>
      </c>
      <c r="Q39" s="2" t="str">
        <f>IF(ISBLANK(数据源!Z64),"",IF(数据源!Z64="A","合格","不合格"))</f>
        <v/>
      </c>
      <c r="R39" s="2" t="str">
        <f>IF(ISBLANK(数据源!AA64),"",数据源!AA64)</f>
        <v/>
      </c>
      <c r="S39" s="2" t="str">
        <f>IF(ISBLANK(数据源!AC64),"",数据源!AC64)</f>
        <v/>
      </c>
      <c r="T39" s="2" t="str">
        <f>IF(ISBLANK(数据源!AE64),"",数据源!AE64)</f>
        <v/>
      </c>
      <c r="Z39" t="s">
        <v>20</v>
      </c>
      <c r="AW39" s="1" t="str">
        <f>IF(数据源!K64="外检","#","")</f>
        <v/>
      </c>
      <c r="AX39" s="2" t="str">
        <f>IF(ISBLANK(数据源!Q64),"",数据源!Q64)</f>
        <v/>
      </c>
      <c r="AY39" s="2" t="str">
        <f>IF(ISBLANK(数据源!R64),"",数据源!R64)</f>
        <v/>
      </c>
      <c r="AZ39" s="2" t="str">
        <f>IF(LEN(数据源!P64)=0,IF(LEN(数据源!D64)=0,"",数据源!D64),数据源!P64)</f>
        <v/>
      </c>
      <c r="BA39" s="2"/>
      <c r="BB39" s="2" t="str">
        <f>IF(ISBLANK(数据源!E64),"",数据源!E64)</f>
        <v/>
      </c>
      <c r="BC39" s="2" t="str">
        <f>IF(ISBLANK(数据源!G64),"",IF(数据源!G64="A","Qualified","Unqualified"))</f>
        <v/>
      </c>
      <c r="BD39" s="2" t="str">
        <f>IF(ISBLANK(数据源!S64),"",数据源!S64)</f>
        <v/>
      </c>
      <c r="BE39" s="2" t="str">
        <f>IF(ISBLANK(数据源!J64),"",数据源!J64)</f>
        <v/>
      </c>
      <c r="BF39" s="2" t="str">
        <f>IF(ISBLANK(数据源!L64),"",数据源!L64)</f>
        <v/>
      </c>
      <c r="BG39" s="1" t="str">
        <f>IF(数据源!AD64="外检","#","")</f>
        <v/>
      </c>
      <c r="BH39" s="2" t="str">
        <f>IF(ISBLANK(数据源!AJ64),"",数据源!AJ64)</f>
        <v/>
      </c>
      <c r="BI39" s="2" t="str">
        <f>IF(ISBLANK(数据源!AK64),"",数据源!AK64)</f>
        <v/>
      </c>
      <c r="BJ39" s="2" t="str">
        <f>IF(LEN(数据源!AI64)=0,IF(LEN(数据源!W64)=0,"",数据源!W64),数据源!AI64)</f>
        <v/>
      </c>
      <c r="BK39" s="1"/>
      <c r="BL39" s="2" t="str">
        <f>IF(ISBLANK(数据源!X64),"",数据源!X64)</f>
        <v/>
      </c>
      <c r="BM39" s="2" t="str">
        <f>IF(ISBLANK(数据源!Z64),"",IF(数据源!Z64="A","Qualified","Unqualified"))</f>
        <v/>
      </c>
      <c r="BN39" s="2" t="str">
        <f>IF(ISBLANK(数据源!AL64),"",数据源!AL64)</f>
        <v/>
      </c>
      <c r="BO39" s="2" t="str">
        <f>IF(ISBLANK(数据源!AC64),"",数据源!AC64)</f>
        <v/>
      </c>
      <c r="BP39" s="2" t="str">
        <f>IF(ISBLANK(数据源!AE64),"",数据源!AE64)</f>
        <v/>
      </c>
      <c r="BV39" t="s">
        <v>20</v>
      </c>
      <c r="BW39" t="s">
        <v>20</v>
      </c>
      <c r="BX39" t="s">
        <v>20</v>
      </c>
      <c r="CP39" s="86" t="str">
        <f>IF(ISBLANK(数据源!AW64),"",数据源!AW64)</f>
        <v/>
      </c>
      <c r="CQ39" s="86"/>
      <c r="CR39" s="86" t="str">
        <f>IF(ISBLANK(数据源!AX64),"",数据源!AX64)</f>
        <v/>
      </c>
      <c r="CS39" s="86" t="str">
        <f>IF(ISBLANK(数据源!AV64),"",数据源!AV64)</f>
        <v/>
      </c>
      <c r="CT39" s="86"/>
      <c r="CU39" s="87" t="s">
        <v>168</v>
      </c>
      <c r="CV39" s="86"/>
      <c r="CW39" s="86" t="str">
        <f>IF(ISBLANK(数据源!AU64),"",数据源!AU64)</f>
        <v/>
      </c>
      <c r="DA39" s="97">
        <f>IF(数据源!L64&lt;&gt;"QA",0,数据源!O64)</f>
        <v>0</v>
      </c>
      <c r="DB39" s="97">
        <f>数据源!M64</f>
        <v>0</v>
      </c>
      <c r="DC39" s="97">
        <f>数据源!N64</f>
        <v>0</v>
      </c>
      <c r="DD39" s="97">
        <f>IF(数据源!L64&lt;&gt;"QC",0,数据源!O64)</f>
        <v>0</v>
      </c>
    </row>
    <row r="40" spans="1:108">
      <c r="A40" s="1" t="str">
        <f>IF(数据源!K65="外检","#","")</f>
        <v/>
      </c>
      <c r="B40" s="2" t="str">
        <f>IF(ISBLANK(数据源!B65),"",数据源!B65)</f>
        <v/>
      </c>
      <c r="C40" s="2" t="str">
        <f>IF(ISBLANK(数据源!C65),"",IF(数据源!C65="/",数据源!F65,数据源!C65))</f>
        <v/>
      </c>
      <c r="D40" s="2" t="str">
        <f>IF(LEN(数据源!P65)=0,IF(LEN(数据源!D65)=0,"",数据源!D65),数据源!P65)</f>
        <v/>
      </c>
      <c r="E40" s="2"/>
      <c r="F40" s="2" t="str">
        <f>IF(ISBLANK(数据源!E65),"",数据源!E65)</f>
        <v/>
      </c>
      <c r="G40" s="2" t="str">
        <f>IF(ISBLANK(数据源!G65),"",IF(数据源!G65="A","合格","不合格"))</f>
        <v/>
      </c>
      <c r="H40" s="2" t="str">
        <f>IF(ISBLANK(数据源!H65),"",数据源!H65)</f>
        <v/>
      </c>
      <c r="I40" s="2" t="str">
        <f>IF(ISBLANK(数据源!J65),"",数据源!J65)</f>
        <v/>
      </c>
      <c r="J40" s="2" t="str">
        <f>IF(ISBLANK(数据源!L65),"",数据源!L65)</f>
        <v/>
      </c>
      <c r="K40" s="1" t="str">
        <f>IF(数据源!AD65="外检","#","")</f>
        <v/>
      </c>
      <c r="L40" s="2" t="str">
        <f>IF(ISBLANK(数据源!U65),"",数据源!U65)</f>
        <v/>
      </c>
      <c r="M40" s="2" t="str">
        <f>IF(ISBLANK(数据源!V65),"",IF(数据源!V65="/",数据源!Y65,数据源!V65))</f>
        <v/>
      </c>
      <c r="N40" s="2" t="str">
        <f>IF(LEN(数据源!AI65)=0,IF(LEN(数据源!W65)=0,"",数据源!W65),数据源!AI65)</f>
        <v/>
      </c>
      <c r="O40" s="1"/>
      <c r="P40" s="2" t="str">
        <f>IF(ISBLANK(数据源!X65),"",数据源!X65)</f>
        <v/>
      </c>
      <c r="Q40" s="2" t="str">
        <f>IF(ISBLANK(数据源!Z65),"",IF(数据源!Z65="A","合格","不合格"))</f>
        <v/>
      </c>
      <c r="R40" s="2" t="str">
        <f>IF(ISBLANK(数据源!AA65),"",数据源!AA65)</f>
        <v/>
      </c>
      <c r="S40" s="2" t="str">
        <f>IF(ISBLANK(数据源!AC65),"",数据源!AC65)</f>
        <v/>
      </c>
      <c r="T40" s="2" t="str">
        <f>IF(ISBLANK(数据源!AE65),"",数据源!AE65)</f>
        <v/>
      </c>
      <c r="Z40" t="s">
        <v>20</v>
      </c>
      <c r="AW40" s="1" t="str">
        <f>IF(数据源!K65="外检","#","")</f>
        <v/>
      </c>
      <c r="AX40" s="2" t="str">
        <f>IF(ISBLANK(数据源!Q65),"",数据源!Q65)</f>
        <v/>
      </c>
      <c r="AY40" s="2" t="str">
        <f>IF(ISBLANK(数据源!R65),"",数据源!R65)</f>
        <v/>
      </c>
      <c r="AZ40" s="2" t="str">
        <f>IF(LEN(数据源!P65)=0,IF(LEN(数据源!D65)=0,"",数据源!D65),数据源!P65)</f>
        <v/>
      </c>
      <c r="BA40" s="2"/>
      <c r="BB40" s="2" t="str">
        <f>IF(ISBLANK(数据源!E65),"",数据源!E65)</f>
        <v/>
      </c>
      <c r="BC40" s="2" t="str">
        <f>IF(ISBLANK(数据源!G65),"",IF(数据源!G65="A","Qualified","Unqualified"))</f>
        <v/>
      </c>
      <c r="BD40" s="2" t="str">
        <f>IF(ISBLANK(数据源!S65),"",数据源!S65)</f>
        <v/>
      </c>
      <c r="BE40" s="2" t="str">
        <f>IF(ISBLANK(数据源!J65),"",数据源!J65)</f>
        <v/>
      </c>
      <c r="BF40" s="2" t="str">
        <f>IF(ISBLANK(数据源!L65),"",数据源!L65)</f>
        <v/>
      </c>
      <c r="BG40" s="1" t="str">
        <f>IF(数据源!AD65="外检","#","")</f>
        <v/>
      </c>
      <c r="BH40" s="2" t="str">
        <f>IF(ISBLANK(数据源!AJ65),"",数据源!AJ65)</f>
        <v/>
      </c>
      <c r="BI40" s="2" t="str">
        <f>IF(ISBLANK(数据源!AK65),"",数据源!AK65)</f>
        <v/>
      </c>
      <c r="BJ40" s="2" t="str">
        <f>IF(LEN(数据源!AI65)=0,IF(LEN(数据源!W65)=0,"",数据源!W65),数据源!AI65)</f>
        <v/>
      </c>
      <c r="BK40" s="1"/>
      <c r="BL40" s="2" t="str">
        <f>IF(ISBLANK(数据源!X65),"",数据源!X65)</f>
        <v/>
      </c>
      <c r="BM40" s="2" t="str">
        <f>IF(ISBLANK(数据源!Z65),"",IF(数据源!Z65="A","Qualified","Unqualified"))</f>
        <v/>
      </c>
      <c r="BN40" s="2" t="str">
        <f>IF(ISBLANK(数据源!AL65),"",数据源!AL65)</f>
        <v/>
      </c>
      <c r="BO40" s="2" t="str">
        <f>IF(ISBLANK(数据源!AC65),"",数据源!AC65)</f>
        <v/>
      </c>
      <c r="BP40" s="2" t="str">
        <f>IF(ISBLANK(数据源!AE65),"",数据源!AE65)</f>
        <v/>
      </c>
      <c r="BV40" t="s">
        <v>20</v>
      </c>
      <c r="BW40" t="s">
        <v>20</v>
      </c>
      <c r="BX40" t="s">
        <v>20</v>
      </c>
      <c r="CP40" s="86" t="str">
        <f>IF(ISBLANK(数据源!AW65),"",数据源!AW65)</f>
        <v/>
      </c>
      <c r="CQ40" s="86"/>
      <c r="CR40" s="86" t="str">
        <f>IF(ISBLANK(数据源!AX65),"",数据源!AX65)</f>
        <v/>
      </c>
      <c r="CS40" s="86" t="str">
        <f>IF(ISBLANK(数据源!AV65),"",数据源!AV65)</f>
        <v/>
      </c>
      <c r="CT40" s="86"/>
      <c r="CU40" s="87" t="s">
        <v>168</v>
      </c>
      <c r="CV40" s="86"/>
      <c r="CW40" s="86" t="str">
        <f>IF(ISBLANK(数据源!AU65),"",数据源!AU65)</f>
        <v/>
      </c>
      <c r="DA40" s="97">
        <f>IF(数据源!L65&lt;&gt;"QA",0,数据源!O65)</f>
        <v>0</v>
      </c>
      <c r="DB40" s="97">
        <f>数据源!M65</f>
        <v>0</v>
      </c>
      <c r="DC40" s="97">
        <f>数据源!N65</f>
        <v>0</v>
      </c>
      <c r="DD40" s="97">
        <f>IF(数据源!L65&lt;&gt;"QC",0,数据源!O65)</f>
        <v>0</v>
      </c>
    </row>
    <row r="41" spans="1:108">
      <c r="A41" s="1" t="str">
        <f>IF(数据源!K66="外检","#","")</f>
        <v/>
      </c>
      <c r="B41" s="2" t="str">
        <f>IF(ISBLANK(数据源!B66),"",数据源!B66)</f>
        <v/>
      </c>
      <c r="C41" s="2" t="str">
        <f>IF(ISBLANK(数据源!C66),"",IF(数据源!C66="/",数据源!F66,数据源!C66))</f>
        <v/>
      </c>
      <c r="D41" s="2" t="str">
        <f>IF(LEN(数据源!P66)=0,IF(LEN(数据源!D66)=0,"",数据源!D66),数据源!P66)</f>
        <v/>
      </c>
      <c r="E41" s="2"/>
      <c r="F41" s="2" t="str">
        <f>IF(ISBLANK(数据源!E66),"",数据源!E66)</f>
        <v/>
      </c>
      <c r="G41" s="2" t="str">
        <f>IF(ISBLANK(数据源!G66),"",IF(数据源!G66="A","合格","不合格"))</f>
        <v/>
      </c>
      <c r="H41" s="2" t="str">
        <f>IF(ISBLANK(数据源!H66),"",数据源!H66)</f>
        <v/>
      </c>
      <c r="I41" s="2" t="str">
        <f>IF(ISBLANK(数据源!J66),"",数据源!J66)</f>
        <v/>
      </c>
      <c r="J41" s="2" t="str">
        <f>IF(ISBLANK(数据源!L66),"",数据源!L66)</f>
        <v/>
      </c>
      <c r="K41" s="1" t="str">
        <f>IF(数据源!AD66="外检","#","")</f>
        <v/>
      </c>
      <c r="L41" s="2" t="str">
        <f>IF(ISBLANK(数据源!U66),"",数据源!U66)</f>
        <v/>
      </c>
      <c r="M41" s="2" t="str">
        <f>IF(ISBLANK(数据源!V66),"",IF(数据源!V66="/",数据源!Y66,数据源!V66))</f>
        <v/>
      </c>
      <c r="N41" s="2" t="str">
        <f>IF(LEN(数据源!AI66)=0,IF(LEN(数据源!W66)=0,"",数据源!W66),数据源!AI66)</f>
        <v/>
      </c>
      <c r="O41" s="1"/>
      <c r="P41" s="2" t="str">
        <f>IF(ISBLANK(数据源!X66),"",数据源!X66)</f>
        <v/>
      </c>
      <c r="Q41" s="2" t="str">
        <f>IF(ISBLANK(数据源!Z66),"",IF(数据源!Z66="A","合格","不合格"))</f>
        <v/>
      </c>
      <c r="R41" s="2" t="str">
        <f>IF(ISBLANK(数据源!AA66),"",数据源!AA66)</f>
        <v/>
      </c>
      <c r="S41" s="2" t="str">
        <f>IF(ISBLANK(数据源!AC66),"",数据源!AC66)</f>
        <v/>
      </c>
      <c r="T41" s="2" t="str">
        <f>IF(ISBLANK(数据源!AE66),"",数据源!AE66)</f>
        <v/>
      </c>
      <c r="Z41" t="s">
        <v>20</v>
      </c>
      <c r="AW41" s="1" t="str">
        <f>IF(数据源!K66="外检","#","")</f>
        <v/>
      </c>
      <c r="AX41" s="2" t="str">
        <f>IF(ISBLANK(数据源!Q66),"",数据源!Q66)</f>
        <v/>
      </c>
      <c r="AY41" s="2" t="str">
        <f>IF(ISBLANK(数据源!R66),"",数据源!R66)</f>
        <v/>
      </c>
      <c r="AZ41" s="2" t="str">
        <f>IF(LEN(数据源!P66)=0,IF(LEN(数据源!D66)=0,"",数据源!D66),数据源!P66)</f>
        <v/>
      </c>
      <c r="BA41" s="2"/>
      <c r="BB41" s="2" t="str">
        <f>IF(ISBLANK(数据源!E66),"",数据源!E66)</f>
        <v/>
      </c>
      <c r="BC41" s="2" t="str">
        <f>IF(ISBLANK(数据源!G66),"",IF(数据源!G66="A","Qualified","Unqualified"))</f>
        <v/>
      </c>
      <c r="BD41" s="2" t="str">
        <f>IF(ISBLANK(数据源!S66),"",数据源!S66)</f>
        <v/>
      </c>
      <c r="BE41" s="2" t="str">
        <f>IF(ISBLANK(数据源!J66),"",数据源!J66)</f>
        <v/>
      </c>
      <c r="BF41" s="2" t="str">
        <f>IF(ISBLANK(数据源!L66),"",数据源!L66)</f>
        <v/>
      </c>
      <c r="BG41" s="1" t="str">
        <f>IF(数据源!AD66="外检","#","")</f>
        <v/>
      </c>
      <c r="BH41" s="2" t="str">
        <f>IF(ISBLANK(数据源!AJ66),"",数据源!AJ66)</f>
        <v/>
      </c>
      <c r="BI41" s="2" t="str">
        <f>IF(ISBLANK(数据源!AK66),"",数据源!AK66)</f>
        <v/>
      </c>
      <c r="BJ41" s="2" t="str">
        <f>IF(LEN(数据源!AI66)=0,IF(LEN(数据源!W66)=0,"",数据源!W66),数据源!AI66)</f>
        <v/>
      </c>
      <c r="BK41" s="1"/>
      <c r="BL41" s="2" t="str">
        <f>IF(ISBLANK(数据源!X66),"",数据源!X66)</f>
        <v/>
      </c>
      <c r="BM41" s="2" t="str">
        <f>IF(ISBLANK(数据源!Z66),"",IF(数据源!Z66="A","Qualified","Unqualified"))</f>
        <v/>
      </c>
      <c r="BN41" s="2" t="str">
        <f>IF(ISBLANK(数据源!AL66),"",数据源!AL66)</f>
        <v/>
      </c>
      <c r="BO41" s="2" t="str">
        <f>IF(ISBLANK(数据源!AC66),"",数据源!AC66)</f>
        <v/>
      </c>
      <c r="BP41" s="2" t="str">
        <f>IF(ISBLANK(数据源!AE66),"",数据源!AE66)</f>
        <v/>
      </c>
      <c r="BV41" t="s">
        <v>20</v>
      </c>
      <c r="BW41" t="s">
        <v>20</v>
      </c>
      <c r="BX41" t="s">
        <v>20</v>
      </c>
      <c r="CP41" s="86" t="str">
        <f>IF(ISBLANK(数据源!AW66),"",数据源!AW66)</f>
        <v/>
      </c>
      <c r="CQ41" s="86"/>
      <c r="CR41" s="86" t="str">
        <f>IF(ISBLANK(数据源!AX66),"",数据源!AX66)</f>
        <v/>
      </c>
      <c r="CS41" s="86" t="str">
        <f>IF(ISBLANK(数据源!AV66),"",数据源!AV66)</f>
        <v/>
      </c>
      <c r="CT41" s="86"/>
      <c r="CU41" s="87" t="s">
        <v>168</v>
      </c>
      <c r="CV41" s="86"/>
      <c r="CW41" s="86" t="str">
        <f>IF(ISBLANK(数据源!AU66),"",数据源!AU66)</f>
        <v/>
      </c>
      <c r="DA41" s="97">
        <f>IF(数据源!L66&lt;&gt;"QA",0,数据源!O66)</f>
        <v>0</v>
      </c>
      <c r="DB41" s="97">
        <f>数据源!M66</f>
        <v>0</v>
      </c>
      <c r="DC41" s="97">
        <f>数据源!N66</f>
        <v>0</v>
      </c>
      <c r="DD41" s="97">
        <f>IF(数据源!L66&lt;&gt;"QC",0,数据源!O66)</f>
        <v>0</v>
      </c>
    </row>
    <row r="42" spans="1:108">
      <c r="A42" s="1" t="str">
        <f>IF(数据源!K67="外检","#","")</f>
        <v/>
      </c>
      <c r="B42" s="2" t="str">
        <f>IF(ISBLANK(数据源!B67),"",数据源!B67)</f>
        <v/>
      </c>
      <c r="C42" s="2" t="str">
        <f>IF(ISBLANK(数据源!C67),"",IF(数据源!C67="/",数据源!F67,数据源!C67))</f>
        <v/>
      </c>
      <c r="D42" s="2" t="str">
        <f>IF(LEN(数据源!P67)=0,IF(LEN(数据源!D67)=0,"",数据源!D67),数据源!P67)</f>
        <v/>
      </c>
      <c r="E42" s="2"/>
      <c r="F42" s="2" t="str">
        <f>IF(ISBLANK(数据源!E67),"",数据源!E67)</f>
        <v/>
      </c>
      <c r="G42" s="2" t="str">
        <f>IF(ISBLANK(数据源!G67),"",IF(数据源!G67="A","合格","不合格"))</f>
        <v/>
      </c>
      <c r="H42" s="2" t="str">
        <f>IF(ISBLANK(数据源!H67),"",数据源!H67)</f>
        <v/>
      </c>
      <c r="I42" s="2" t="str">
        <f>IF(ISBLANK(数据源!J67),"",数据源!J67)</f>
        <v/>
      </c>
      <c r="J42" s="2" t="str">
        <f>IF(ISBLANK(数据源!L67),"",数据源!L67)</f>
        <v/>
      </c>
      <c r="K42" s="1" t="str">
        <f>IF(数据源!AD67="外检","#","")</f>
        <v/>
      </c>
      <c r="L42" s="2" t="str">
        <f>IF(ISBLANK(数据源!U67),"",数据源!U67)</f>
        <v/>
      </c>
      <c r="M42" s="2" t="str">
        <f>IF(ISBLANK(数据源!V67),"",IF(数据源!V67="/",数据源!Y67,数据源!V67))</f>
        <v/>
      </c>
      <c r="N42" s="2" t="str">
        <f>IF(LEN(数据源!AI67)=0,IF(LEN(数据源!W67)=0,"",数据源!W67),数据源!AI67)</f>
        <v/>
      </c>
      <c r="O42" s="1"/>
      <c r="P42" s="2" t="str">
        <f>IF(ISBLANK(数据源!X67),"",数据源!X67)</f>
        <v/>
      </c>
      <c r="Q42" s="2" t="str">
        <f>IF(ISBLANK(数据源!Z67),"",IF(数据源!Z67="A","合格","不合格"))</f>
        <v/>
      </c>
      <c r="R42" s="2" t="str">
        <f>IF(ISBLANK(数据源!AA67),"",数据源!AA67)</f>
        <v/>
      </c>
      <c r="S42" s="2" t="str">
        <f>IF(ISBLANK(数据源!AC67),"",数据源!AC67)</f>
        <v/>
      </c>
      <c r="T42" s="2" t="str">
        <f>IF(ISBLANK(数据源!AE67),"",数据源!AE67)</f>
        <v/>
      </c>
      <c r="Z42" t="s">
        <v>20</v>
      </c>
      <c r="AW42" s="1" t="str">
        <f>IF(数据源!K67="外检","#","")</f>
        <v/>
      </c>
      <c r="AX42" s="2" t="str">
        <f>IF(ISBLANK(数据源!Q67),"",数据源!Q67)</f>
        <v/>
      </c>
      <c r="AY42" s="2" t="str">
        <f>IF(ISBLANK(数据源!R67),"",数据源!R67)</f>
        <v/>
      </c>
      <c r="AZ42" s="2" t="str">
        <f>IF(LEN(数据源!P67)=0,IF(LEN(数据源!D67)=0,"",数据源!D67),数据源!P67)</f>
        <v/>
      </c>
      <c r="BA42" s="2"/>
      <c r="BB42" s="2" t="str">
        <f>IF(ISBLANK(数据源!E67),"",数据源!E67)</f>
        <v/>
      </c>
      <c r="BC42" s="2" t="str">
        <f>IF(ISBLANK(数据源!G67),"",IF(数据源!G67="A","Qualified","Unqualified"))</f>
        <v/>
      </c>
      <c r="BD42" s="2" t="str">
        <f>IF(ISBLANK(数据源!S67),"",数据源!S67)</f>
        <v/>
      </c>
      <c r="BE42" s="2" t="str">
        <f>IF(ISBLANK(数据源!J67),"",数据源!J67)</f>
        <v/>
      </c>
      <c r="BF42" s="2" t="str">
        <f>IF(ISBLANK(数据源!L67),"",数据源!L67)</f>
        <v/>
      </c>
      <c r="BG42" s="1" t="str">
        <f>IF(数据源!AD67="外检","#","")</f>
        <v/>
      </c>
      <c r="BH42" s="2" t="str">
        <f>IF(ISBLANK(数据源!AJ67),"",数据源!AJ67)</f>
        <v/>
      </c>
      <c r="BI42" s="2" t="str">
        <f>IF(ISBLANK(数据源!AK67),"",数据源!AK67)</f>
        <v/>
      </c>
      <c r="BJ42" s="2" t="str">
        <f>IF(LEN(数据源!AI67)=0,IF(LEN(数据源!W67)=0,"",数据源!W67),数据源!AI67)</f>
        <v/>
      </c>
      <c r="BK42" s="1"/>
      <c r="BL42" s="2" t="str">
        <f>IF(ISBLANK(数据源!X67),"",数据源!X67)</f>
        <v/>
      </c>
      <c r="BM42" s="2" t="str">
        <f>IF(ISBLANK(数据源!Z67),"",IF(数据源!Z67="A","Qualified","Unqualified"))</f>
        <v/>
      </c>
      <c r="BN42" s="2" t="str">
        <f>IF(ISBLANK(数据源!AL67),"",数据源!AL67)</f>
        <v/>
      </c>
      <c r="BO42" s="2" t="str">
        <f>IF(ISBLANK(数据源!AC67),"",数据源!AC67)</f>
        <v/>
      </c>
      <c r="BP42" s="2" t="str">
        <f>IF(ISBLANK(数据源!AE67),"",数据源!AE67)</f>
        <v/>
      </c>
      <c r="BV42" t="s">
        <v>20</v>
      </c>
      <c r="BW42" t="s">
        <v>20</v>
      </c>
      <c r="BX42" t="s">
        <v>20</v>
      </c>
      <c r="CP42" s="86" t="str">
        <f>IF(ISBLANK(数据源!AW67),"",数据源!AW67)</f>
        <v/>
      </c>
      <c r="CQ42" s="86"/>
      <c r="CR42" s="86" t="str">
        <f>IF(ISBLANK(数据源!AX67),"",数据源!AX67)</f>
        <v/>
      </c>
      <c r="CS42" s="86" t="str">
        <f>IF(ISBLANK(数据源!AV67),"",数据源!AV67)</f>
        <v/>
      </c>
      <c r="CT42" s="86"/>
      <c r="CU42" s="87" t="s">
        <v>168</v>
      </c>
      <c r="CV42" s="86"/>
      <c r="CW42" s="86" t="str">
        <f>IF(ISBLANK(数据源!AU67),"",数据源!AU67)</f>
        <v/>
      </c>
      <c r="DA42" s="97">
        <f>IF(数据源!L67&lt;&gt;"QA",0,数据源!O67)</f>
        <v>0</v>
      </c>
      <c r="DB42" s="97">
        <f>数据源!M67</f>
        <v>0</v>
      </c>
      <c r="DC42" s="97">
        <f>数据源!N67</f>
        <v>0</v>
      </c>
      <c r="DD42" s="97">
        <f>IF(数据源!L67&lt;&gt;"QC",0,数据源!O67)</f>
        <v>0</v>
      </c>
    </row>
    <row r="43" spans="1:108">
      <c r="A43" s="1" t="str">
        <f>IF(数据源!K68="外检","#","")</f>
        <v/>
      </c>
      <c r="B43" s="2" t="str">
        <f>IF(ISBLANK(数据源!B68),"",数据源!B68)</f>
        <v/>
      </c>
      <c r="C43" s="2" t="str">
        <f>IF(ISBLANK(数据源!C68),"",IF(数据源!C68="/",数据源!F68,数据源!C68))</f>
        <v/>
      </c>
      <c r="D43" s="2" t="str">
        <f>IF(LEN(数据源!P68)=0,IF(LEN(数据源!D68)=0,"",数据源!D68),数据源!P68)</f>
        <v/>
      </c>
      <c r="E43" s="2"/>
      <c r="F43" s="2" t="str">
        <f>IF(ISBLANK(数据源!E68),"",数据源!E68)</f>
        <v/>
      </c>
      <c r="G43" s="2" t="str">
        <f>IF(ISBLANK(数据源!G68),"",IF(数据源!G68="A","合格","不合格"))</f>
        <v/>
      </c>
      <c r="H43" s="2" t="str">
        <f>IF(ISBLANK(数据源!H68),"",数据源!H68)</f>
        <v/>
      </c>
      <c r="I43" s="2" t="str">
        <f>IF(ISBLANK(数据源!J68),"",数据源!J68)</f>
        <v/>
      </c>
      <c r="J43" s="2" t="str">
        <f>IF(ISBLANK(数据源!L68),"",数据源!L68)</f>
        <v/>
      </c>
      <c r="K43" s="1" t="str">
        <f>IF(数据源!AD68="外检","#","")</f>
        <v/>
      </c>
      <c r="L43" s="2" t="str">
        <f>IF(ISBLANK(数据源!U68),"",数据源!U68)</f>
        <v/>
      </c>
      <c r="M43" s="2" t="str">
        <f>IF(ISBLANK(数据源!V68),"",IF(数据源!V68="/",数据源!Y68,数据源!V68))</f>
        <v/>
      </c>
      <c r="N43" s="2" t="str">
        <f>IF(LEN(数据源!AI68)=0,IF(LEN(数据源!W68)=0,"",数据源!W68),数据源!AI68)</f>
        <v/>
      </c>
      <c r="O43" s="1"/>
      <c r="P43" s="2" t="str">
        <f>IF(ISBLANK(数据源!X68),"",数据源!X68)</f>
        <v/>
      </c>
      <c r="Q43" s="2" t="str">
        <f>IF(ISBLANK(数据源!Z68),"",IF(数据源!Z68="A","合格","不合格"))</f>
        <v/>
      </c>
      <c r="R43" s="2" t="str">
        <f>IF(ISBLANK(数据源!AA68),"",数据源!AA68)</f>
        <v/>
      </c>
      <c r="S43" s="2" t="str">
        <f>IF(ISBLANK(数据源!AC68),"",数据源!AC68)</f>
        <v/>
      </c>
      <c r="T43" s="2" t="str">
        <f>IF(ISBLANK(数据源!AE68),"",数据源!AE68)</f>
        <v/>
      </c>
      <c r="Z43" t="s">
        <v>20</v>
      </c>
      <c r="AW43" s="1" t="str">
        <f>IF(数据源!K68="外检","#","")</f>
        <v/>
      </c>
      <c r="AX43" s="2" t="str">
        <f>IF(ISBLANK(数据源!Q68),"",数据源!Q68)</f>
        <v/>
      </c>
      <c r="AY43" s="2" t="str">
        <f>IF(ISBLANK(数据源!R68),"",数据源!R68)</f>
        <v/>
      </c>
      <c r="AZ43" s="2" t="str">
        <f>IF(LEN(数据源!P68)=0,IF(LEN(数据源!D68)=0,"",数据源!D68),数据源!P68)</f>
        <v/>
      </c>
      <c r="BA43" s="2"/>
      <c r="BB43" s="2" t="str">
        <f>IF(ISBLANK(数据源!E68),"",数据源!E68)</f>
        <v/>
      </c>
      <c r="BC43" s="2" t="str">
        <f>IF(ISBLANK(数据源!G68),"",IF(数据源!G68="A","Qualified","Unqualified"))</f>
        <v/>
      </c>
      <c r="BD43" s="2" t="str">
        <f>IF(ISBLANK(数据源!S68),"",数据源!S68)</f>
        <v/>
      </c>
      <c r="BE43" s="2" t="str">
        <f>IF(ISBLANK(数据源!J68),"",数据源!J68)</f>
        <v/>
      </c>
      <c r="BF43" s="2" t="str">
        <f>IF(ISBLANK(数据源!L68),"",数据源!L68)</f>
        <v/>
      </c>
      <c r="BG43" s="1" t="str">
        <f>IF(数据源!AD68="外检","#","")</f>
        <v/>
      </c>
      <c r="BH43" s="2" t="str">
        <f>IF(ISBLANK(数据源!AJ68),"",数据源!AJ68)</f>
        <v/>
      </c>
      <c r="BI43" s="2" t="str">
        <f>IF(ISBLANK(数据源!AK68),"",数据源!AK68)</f>
        <v/>
      </c>
      <c r="BJ43" s="2" t="str">
        <f>IF(LEN(数据源!AI68)=0,IF(LEN(数据源!W68)=0,"",数据源!W68),数据源!AI68)</f>
        <v/>
      </c>
      <c r="BK43" s="1"/>
      <c r="BL43" s="2" t="str">
        <f>IF(ISBLANK(数据源!X68),"",数据源!X68)</f>
        <v/>
      </c>
      <c r="BM43" s="2" t="str">
        <f>IF(ISBLANK(数据源!Z68),"",IF(数据源!Z68="A","Qualified","Unqualified"))</f>
        <v/>
      </c>
      <c r="BN43" s="2" t="str">
        <f>IF(ISBLANK(数据源!AL68),"",数据源!AL68)</f>
        <v/>
      </c>
      <c r="BO43" s="2" t="str">
        <f>IF(ISBLANK(数据源!AC68),"",数据源!AC68)</f>
        <v/>
      </c>
      <c r="BP43" s="2" t="str">
        <f>IF(ISBLANK(数据源!AE68),"",数据源!AE68)</f>
        <v/>
      </c>
      <c r="BV43" t="s">
        <v>20</v>
      </c>
      <c r="BW43" t="s">
        <v>20</v>
      </c>
      <c r="BX43" t="s">
        <v>20</v>
      </c>
      <c r="CP43" s="86" t="str">
        <f>IF(ISBLANK(数据源!AW68),"",数据源!AW68)</f>
        <v/>
      </c>
      <c r="CQ43" s="86"/>
      <c r="CR43" s="86" t="str">
        <f>IF(ISBLANK(数据源!AX68),"",数据源!AX68)</f>
        <v/>
      </c>
      <c r="CS43" s="86" t="str">
        <f>IF(ISBLANK(数据源!AV68),"",数据源!AV68)</f>
        <v/>
      </c>
      <c r="CT43" s="86"/>
      <c r="CU43" s="87" t="s">
        <v>168</v>
      </c>
      <c r="CV43" s="86"/>
      <c r="CW43" s="86" t="str">
        <f>IF(ISBLANK(数据源!AU68),"",数据源!AU68)</f>
        <v/>
      </c>
      <c r="DA43" s="97">
        <f>IF(数据源!L68&lt;&gt;"QA",0,数据源!O68)</f>
        <v>0</v>
      </c>
      <c r="DB43" s="97">
        <f>数据源!M68</f>
        <v>0</v>
      </c>
      <c r="DC43" s="97">
        <f>数据源!N68</f>
        <v>0</v>
      </c>
      <c r="DD43" s="97">
        <f>IF(数据源!L68&lt;&gt;"QC",0,数据源!O68)</f>
        <v>0</v>
      </c>
    </row>
    <row r="44" spans="1:108">
      <c r="A44" s="1" t="str">
        <f>IF(数据源!K69="外检","#","")</f>
        <v/>
      </c>
      <c r="B44" s="2" t="str">
        <f>IF(ISBLANK(数据源!B69),"",数据源!B69)</f>
        <v/>
      </c>
      <c r="C44" s="2" t="str">
        <f>IF(ISBLANK(数据源!C69),"",IF(数据源!C69="/",数据源!F69,数据源!C69))</f>
        <v/>
      </c>
      <c r="D44" s="2" t="str">
        <f>IF(LEN(数据源!P69)=0,IF(LEN(数据源!D69)=0,"",数据源!D69),数据源!P69)</f>
        <v/>
      </c>
      <c r="E44" s="2"/>
      <c r="F44" s="2" t="str">
        <f>IF(ISBLANK(数据源!E69),"",数据源!E69)</f>
        <v/>
      </c>
      <c r="G44" s="2" t="str">
        <f>IF(ISBLANK(数据源!G69),"",IF(数据源!G69="A","合格","不合格"))</f>
        <v/>
      </c>
      <c r="H44" s="2" t="str">
        <f>IF(ISBLANK(数据源!H69),"",数据源!H69)</f>
        <v/>
      </c>
      <c r="I44" s="2" t="str">
        <f>IF(ISBLANK(数据源!J69),"",数据源!J69)</f>
        <v/>
      </c>
      <c r="J44" s="2" t="str">
        <f>IF(ISBLANK(数据源!L69),"",数据源!L69)</f>
        <v/>
      </c>
      <c r="K44" s="1" t="str">
        <f>IF(数据源!AD69="外检","#","")</f>
        <v/>
      </c>
      <c r="L44" s="2" t="str">
        <f>IF(ISBLANK(数据源!U69),"",数据源!U69)</f>
        <v/>
      </c>
      <c r="M44" s="2" t="str">
        <f>IF(ISBLANK(数据源!V69),"",IF(数据源!V69="/",数据源!Y69,数据源!V69))</f>
        <v/>
      </c>
      <c r="N44" s="2" t="str">
        <f>IF(LEN(数据源!AI69)=0,IF(LEN(数据源!W69)=0,"",数据源!W69),数据源!AI69)</f>
        <v/>
      </c>
      <c r="O44" s="1"/>
      <c r="P44" s="2" t="str">
        <f>IF(ISBLANK(数据源!X69),"",数据源!X69)</f>
        <v/>
      </c>
      <c r="Q44" s="2" t="str">
        <f>IF(ISBLANK(数据源!Z69),"",IF(数据源!Z69="A","合格","不合格"))</f>
        <v/>
      </c>
      <c r="R44" s="2" t="str">
        <f>IF(ISBLANK(数据源!AA69),"",数据源!AA69)</f>
        <v/>
      </c>
      <c r="S44" s="2" t="str">
        <f>IF(ISBLANK(数据源!AC69),"",数据源!AC69)</f>
        <v/>
      </c>
      <c r="T44" s="2" t="str">
        <f>IF(ISBLANK(数据源!AE69),"",数据源!AE69)</f>
        <v/>
      </c>
      <c r="Z44" t="s">
        <v>20</v>
      </c>
      <c r="AW44" s="1" t="str">
        <f>IF(数据源!K69="外检","#","")</f>
        <v/>
      </c>
      <c r="AX44" s="2" t="str">
        <f>IF(ISBLANK(数据源!Q69),"",数据源!Q69)</f>
        <v/>
      </c>
      <c r="AY44" s="2" t="str">
        <f>IF(ISBLANK(数据源!R69),"",数据源!R69)</f>
        <v/>
      </c>
      <c r="AZ44" s="2" t="str">
        <f>IF(LEN(数据源!P69)=0,IF(LEN(数据源!D69)=0,"",数据源!D69),数据源!P69)</f>
        <v/>
      </c>
      <c r="BA44" s="2"/>
      <c r="BB44" s="2" t="str">
        <f>IF(ISBLANK(数据源!E69),"",数据源!E69)</f>
        <v/>
      </c>
      <c r="BC44" s="2" t="str">
        <f>IF(ISBLANK(数据源!G69),"",IF(数据源!G69="A","Qualified","Unqualified"))</f>
        <v/>
      </c>
      <c r="BD44" s="2" t="str">
        <f>IF(ISBLANK(数据源!S69),"",数据源!S69)</f>
        <v/>
      </c>
      <c r="BE44" s="2" t="str">
        <f>IF(ISBLANK(数据源!J69),"",数据源!J69)</f>
        <v/>
      </c>
      <c r="BF44" s="2" t="str">
        <f>IF(ISBLANK(数据源!L69),"",数据源!L69)</f>
        <v/>
      </c>
      <c r="BG44" s="1" t="str">
        <f>IF(数据源!AD69="外检","#","")</f>
        <v/>
      </c>
      <c r="BH44" s="2" t="str">
        <f>IF(ISBLANK(数据源!AJ69),"",数据源!AJ69)</f>
        <v/>
      </c>
      <c r="BI44" s="2" t="str">
        <f>IF(ISBLANK(数据源!AK69),"",数据源!AK69)</f>
        <v/>
      </c>
      <c r="BJ44" s="2" t="str">
        <f>IF(LEN(数据源!AI69)=0,IF(LEN(数据源!W69)=0,"",数据源!W69),数据源!AI69)</f>
        <v/>
      </c>
      <c r="BK44" s="1"/>
      <c r="BL44" s="2" t="str">
        <f>IF(ISBLANK(数据源!X69),"",数据源!X69)</f>
        <v/>
      </c>
      <c r="BM44" s="2" t="str">
        <f>IF(ISBLANK(数据源!Z69),"",IF(数据源!Z69="A","Qualified","Unqualified"))</f>
        <v/>
      </c>
      <c r="BN44" s="2" t="str">
        <f>IF(ISBLANK(数据源!AL69),"",数据源!AL69)</f>
        <v/>
      </c>
      <c r="BO44" s="2" t="str">
        <f>IF(ISBLANK(数据源!AC69),"",数据源!AC69)</f>
        <v/>
      </c>
      <c r="BP44" s="2" t="str">
        <f>IF(ISBLANK(数据源!AE69),"",数据源!AE69)</f>
        <v/>
      </c>
      <c r="BV44" t="s">
        <v>20</v>
      </c>
      <c r="BW44" t="s">
        <v>20</v>
      </c>
      <c r="BX44" t="s">
        <v>20</v>
      </c>
      <c r="CP44" s="86" t="str">
        <f>IF(ISBLANK(数据源!AW69),"",数据源!AW69)</f>
        <v/>
      </c>
      <c r="CQ44" s="86"/>
      <c r="CR44" s="86" t="str">
        <f>IF(ISBLANK(数据源!AX69),"",数据源!AX69)</f>
        <v/>
      </c>
      <c r="CS44" s="86" t="str">
        <f>IF(ISBLANK(数据源!AV69),"",数据源!AV69)</f>
        <v/>
      </c>
      <c r="CT44" s="86"/>
      <c r="CU44" s="87" t="s">
        <v>168</v>
      </c>
      <c r="CV44" s="86"/>
      <c r="CW44" s="86" t="str">
        <f>IF(ISBLANK(数据源!AU69),"",数据源!AU69)</f>
        <v/>
      </c>
      <c r="DA44" s="97">
        <f>IF(数据源!L69&lt;&gt;"QA",0,数据源!O69)</f>
        <v>0</v>
      </c>
      <c r="DB44" s="97">
        <f>数据源!M69</f>
        <v>0</v>
      </c>
      <c r="DC44" s="97">
        <f>数据源!N69</f>
        <v>0</v>
      </c>
      <c r="DD44" s="97">
        <f>IF(数据源!L69&lt;&gt;"QC",0,数据源!O69)</f>
        <v>0</v>
      </c>
    </row>
    <row r="45" spans="1:108">
      <c r="A45" s="1" t="str">
        <f>IF(数据源!K70="外检","#","")</f>
        <v/>
      </c>
      <c r="B45" s="2" t="str">
        <f>IF(ISBLANK(数据源!B70),"",数据源!B70)</f>
        <v/>
      </c>
      <c r="C45" s="2" t="str">
        <f>IF(ISBLANK(数据源!C70),"",IF(数据源!C70="/",数据源!F70,数据源!C70))</f>
        <v/>
      </c>
      <c r="D45" s="2" t="str">
        <f>IF(LEN(数据源!P70)=0,IF(LEN(数据源!D70)=0,"",数据源!D70),数据源!P70)</f>
        <v/>
      </c>
      <c r="E45" s="2"/>
      <c r="F45" s="2" t="str">
        <f>IF(ISBLANK(数据源!E70),"",数据源!E70)</f>
        <v/>
      </c>
      <c r="G45" s="2" t="str">
        <f>IF(ISBLANK(数据源!G70),"",IF(数据源!G70="A","合格","不合格"))</f>
        <v/>
      </c>
      <c r="H45" s="2" t="str">
        <f>IF(ISBLANK(数据源!H70),"",数据源!H70)</f>
        <v/>
      </c>
      <c r="I45" s="2" t="str">
        <f>IF(ISBLANK(数据源!J70),"",数据源!J70)</f>
        <v/>
      </c>
      <c r="J45" s="2" t="str">
        <f>IF(ISBLANK(数据源!L70),"",数据源!L70)</f>
        <v/>
      </c>
      <c r="K45" s="1" t="str">
        <f>IF(数据源!AD70="外检","#","")</f>
        <v/>
      </c>
      <c r="L45" s="2" t="str">
        <f>IF(ISBLANK(数据源!U70),"",数据源!U70)</f>
        <v/>
      </c>
      <c r="M45" s="2" t="str">
        <f>IF(ISBLANK(数据源!V70),"",IF(数据源!V70="/",数据源!Y70,数据源!V70))</f>
        <v/>
      </c>
      <c r="N45" s="2" t="str">
        <f>IF(LEN(数据源!AI70)=0,IF(LEN(数据源!W70)=0,"",数据源!W70),数据源!AI70)</f>
        <v/>
      </c>
      <c r="O45" s="1"/>
      <c r="P45" s="2" t="str">
        <f>IF(ISBLANK(数据源!X70),"",数据源!X70)</f>
        <v/>
      </c>
      <c r="Q45" s="2" t="str">
        <f>IF(ISBLANK(数据源!Z70),"",IF(数据源!Z70="A","合格","不合格"))</f>
        <v/>
      </c>
      <c r="R45" s="2" t="str">
        <f>IF(ISBLANK(数据源!AA70),"",数据源!AA70)</f>
        <v/>
      </c>
      <c r="S45" s="2" t="str">
        <f>IF(ISBLANK(数据源!AC70),"",数据源!AC70)</f>
        <v/>
      </c>
      <c r="T45" s="2" t="str">
        <f>IF(ISBLANK(数据源!AE70),"",数据源!AE70)</f>
        <v/>
      </c>
      <c r="Z45" t="s">
        <v>20</v>
      </c>
      <c r="AW45" s="1" t="str">
        <f>IF(数据源!K70="外检","#","")</f>
        <v/>
      </c>
      <c r="AX45" s="2" t="str">
        <f>IF(ISBLANK(数据源!Q70),"",数据源!Q70)</f>
        <v/>
      </c>
      <c r="AY45" s="2" t="str">
        <f>IF(ISBLANK(数据源!R70),"",数据源!R70)</f>
        <v/>
      </c>
      <c r="AZ45" s="2" t="str">
        <f>IF(LEN(数据源!P70)=0,IF(LEN(数据源!D70)=0,"",数据源!D70),数据源!P70)</f>
        <v/>
      </c>
      <c r="BA45" s="2"/>
      <c r="BB45" s="2" t="str">
        <f>IF(ISBLANK(数据源!E70),"",数据源!E70)</f>
        <v/>
      </c>
      <c r="BC45" s="2" t="str">
        <f>IF(ISBLANK(数据源!G70),"",IF(数据源!G70="A","Qualified","Unqualified"))</f>
        <v/>
      </c>
      <c r="BD45" s="2" t="str">
        <f>IF(ISBLANK(数据源!S70),"",数据源!S70)</f>
        <v/>
      </c>
      <c r="BE45" s="2" t="str">
        <f>IF(ISBLANK(数据源!J70),"",数据源!J70)</f>
        <v/>
      </c>
      <c r="BF45" s="2" t="str">
        <f>IF(ISBLANK(数据源!L70),"",数据源!L70)</f>
        <v/>
      </c>
      <c r="BG45" s="1" t="str">
        <f>IF(数据源!AD70="外检","#","")</f>
        <v/>
      </c>
      <c r="BH45" s="2" t="str">
        <f>IF(ISBLANK(数据源!AJ70),"",数据源!AJ70)</f>
        <v/>
      </c>
      <c r="BI45" s="2" t="str">
        <f>IF(ISBLANK(数据源!AK70),"",数据源!AK70)</f>
        <v/>
      </c>
      <c r="BJ45" s="2" t="str">
        <f>IF(LEN(数据源!AI70)=0,IF(LEN(数据源!W70)=0,"",数据源!W70),数据源!AI70)</f>
        <v/>
      </c>
      <c r="BK45" s="1"/>
      <c r="BL45" s="2" t="str">
        <f>IF(ISBLANK(数据源!X70),"",数据源!X70)</f>
        <v/>
      </c>
      <c r="BM45" s="2" t="str">
        <f>IF(ISBLANK(数据源!Z70),"",IF(数据源!Z70="A","Qualified","Unqualified"))</f>
        <v/>
      </c>
      <c r="BN45" s="2" t="str">
        <f>IF(ISBLANK(数据源!AL70),"",数据源!AL70)</f>
        <v/>
      </c>
      <c r="BO45" s="2" t="str">
        <f>IF(ISBLANK(数据源!AC70),"",数据源!AC70)</f>
        <v/>
      </c>
      <c r="BP45" s="2" t="str">
        <f>IF(ISBLANK(数据源!AE70),"",数据源!AE70)</f>
        <v/>
      </c>
      <c r="BV45" t="s">
        <v>20</v>
      </c>
      <c r="BW45" t="s">
        <v>20</v>
      </c>
      <c r="BX45" t="s">
        <v>20</v>
      </c>
      <c r="CP45" s="86" t="str">
        <f>IF(ISBLANK(数据源!AW70),"",数据源!AW70)</f>
        <v/>
      </c>
      <c r="CQ45" s="86"/>
      <c r="CR45" s="86" t="str">
        <f>IF(ISBLANK(数据源!AX70),"",数据源!AX70)</f>
        <v/>
      </c>
      <c r="CS45" s="86" t="str">
        <f>IF(ISBLANK(数据源!AV70),"",数据源!AV70)</f>
        <v/>
      </c>
      <c r="CT45" s="86"/>
      <c r="CU45" s="87" t="s">
        <v>168</v>
      </c>
      <c r="CV45" s="86"/>
      <c r="CW45" s="86" t="str">
        <f>IF(ISBLANK(数据源!AU70),"",数据源!AU70)</f>
        <v/>
      </c>
      <c r="DA45" s="97">
        <f>IF(数据源!L70&lt;&gt;"QA",0,数据源!O70)</f>
        <v>0</v>
      </c>
      <c r="DB45" s="97">
        <f>数据源!M70</f>
        <v>0</v>
      </c>
      <c r="DC45" s="97">
        <f>数据源!N70</f>
        <v>0</v>
      </c>
      <c r="DD45" s="97">
        <f>IF(数据源!L70&lt;&gt;"QC",0,数据源!O70)</f>
        <v>0</v>
      </c>
    </row>
    <row r="46" spans="1:108">
      <c r="A46" s="1" t="str">
        <f>IF(数据源!K71="外检","#","")</f>
        <v/>
      </c>
      <c r="B46" s="2" t="str">
        <f>IF(ISBLANK(数据源!B71),"",数据源!B71)</f>
        <v/>
      </c>
      <c r="C46" s="2" t="str">
        <f>IF(ISBLANK(数据源!C71),"",IF(数据源!C71="/",数据源!F71,数据源!C71))</f>
        <v/>
      </c>
      <c r="D46" s="2" t="str">
        <f>IF(LEN(数据源!P71)=0,IF(LEN(数据源!D71)=0,"",数据源!D71),数据源!P71)</f>
        <v/>
      </c>
      <c r="E46" s="2"/>
      <c r="F46" s="2" t="str">
        <f>IF(ISBLANK(数据源!E71),"",数据源!E71)</f>
        <v/>
      </c>
      <c r="G46" s="2" t="str">
        <f>IF(ISBLANK(数据源!G71),"",IF(数据源!G71="A","合格","不合格"))</f>
        <v/>
      </c>
      <c r="H46" s="2" t="str">
        <f>IF(ISBLANK(数据源!H71),"",数据源!H71)</f>
        <v/>
      </c>
      <c r="I46" s="2" t="str">
        <f>IF(ISBLANK(数据源!J71),"",数据源!J71)</f>
        <v/>
      </c>
      <c r="J46" s="2" t="str">
        <f>IF(ISBLANK(数据源!L71),"",数据源!L71)</f>
        <v/>
      </c>
      <c r="K46" s="1" t="str">
        <f>IF(数据源!AD71="外检","#","")</f>
        <v/>
      </c>
      <c r="L46" s="2" t="str">
        <f>IF(ISBLANK(数据源!U71),"",数据源!U71)</f>
        <v/>
      </c>
      <c r="M46" s="2" t="str">
        <f>IF(ISBLANK(数据源!V71),"",IF(数据源!V71="/",数据源!Y71,数据源!V71))</f>
        <v/>
      </c>
      <c r="N46" s="2" t="str">
        <f>IF(LEN(数据源!AI71)=0,IF(LEN(数据源!W71)=0,"",数据源!W71),数据源!AI71)</f>
        <v/>
      </c>
      <c r="O46" s="1"/>
      <c r="P46" s="2" t="str">
        <f>IF(ISBLANK(数据源!X71),"",数据源!X71)</f>
        <v/>
      </c>
      <c r="Q46" s="2" t="str">
        <f>IF(ISBLANK(数据源!Z71),"",IF(数据源!Z71="A","合格","不合格"))</f>
        <v/>
      </c>
      <c r="R46" s="2" t="str">
        <f>IF(ISBLANK(数据源!AA71),"",数据源!AA71)</f>
        <v/>
      </c>
      <c r="S46" s="2" t="str">
        <f>IF(ISBLANK(数据源!AC71),"",数据源!AC71)</f>
        <v/>
      </c>
      <c r="T46" s="2" t="str">
        <f>IF(ISBLANK(数据源!AE71),"",数据源!AE71)</f>
        <v/>
      </c>
      <c r="Z46" t="s">
        <v>20</v>
      </c>
      <c r="AW46" s="1" t="str">
        <f>IF(数据源!K71="外检","#","")</f>
        <v/>
      </c>
      <c r="AX46" s="2" t="str">
        <f>IF(ISBLANK(数据源!Q71),"",数据源!Q71)</f>
        <v/>
      </c>
      <c r="AY46" s="2" t="str">
        <f>IF(ISBLANK(数据源!R71),"",数据源!R71)</f>
        <v/>
      </c>
      <c r="AZ46" s="2" t="str">
        <f>IF(LEN(数据源!P71)=0,IF(LEN(数据源!D71)=0,"",数据源!D71),数据源!P71)</f>
        <v/>
      </c>
      <c r="BA46" s="2"/>
      <c r="BB46" s="2" t="str">
        <f>IF(ISBLANK(数据源!E71),"",数据源!E71)</f>
        <v/>
      </c>
      <c r="BC46" s="2" t="str">
        <f>IF(ISBLANK(数据源!G71),"",IF(数据源!G71="A","Qualified","Unqualified"))</f>
        <v/>
      </c>
      <c r="BD46" s="2" t="str">
        <f>IF(ISBLANK(数据源!S71),"",数据源!S71)</f>
        <v/>
      </c>
      <c r="BE46" s="2" t="str">
        <f>IF(ISBLANK(数据源!J71),"",数据源!J71)</f>
        <v/>
      </c>
      <c r="BF46" s="2" t="str">
        <f>IF(ISBLANK(数据源!L71),"",数据源!L71)</f>
        <v/>
      </c>
      <c r="BG46" s="1" t="str">
        <f>IF(数据源!AD71="外检","#","")</f>
        <v/>
      </c>
      <c r="BH46" s="2" t="str">
        <f>IF(ISBLANK(数据源!AJ71),"",数据源!AJ71)</f>
        <v/>
      </c>
      <c r="BI46" s="2" t="str">
        <f>IF(ISBLANK(数据源!AK71),"",数据源!AK71)</f>
        <v/>
      </c>
      <c r="BJ46" s="2" t="str">
        <f>IF(LEN(数据源!AI71)=0,IF(LEN(数据源!W71)=0,"",数据源!W71),数据源!AI71)</f>
        <v/>
      </c>
      <c r="BK46" s="1"/>
      <c r="BL46" s="2" t="str">
        <f>IF(ISBLANK(数据源!X71),"",数据源!X71)</f>
        <v/>
      </c>
      <c r="BM46" s="2" t="str">
        <f>IF(ISBLANK(数据源!Z71),"",IF(数据源!Z71="A","Qualified","Unqualified"))</f>
        <v/>
      </c>
      <c r="BN46" s="2" t="str">
        <f>IF(ISBLANK(数据源!AL71),"",数据源!AL71)</f>
        <v/>
      </c>
      <c r="BO46" s="2" t="str">
        <f>IF(ISBLANK(数据源!AC71),"",数据源!AC71)</f>
        <v/>
      </c>
      <c r="BP46" s="2" t="str">
        <f>IF(ISBLANK(数据源!AE71),"",数据源!AE71)</f>
        <v/>
      </c>
      <c r="BV46" t="s">
        <v>20</v>
      </c>
      <c r="BW46" t="s">
        <v>20</v>
      </c>
      <c r="BX46" t="s">
        <v>20</v>
      </c>
      <c r="CP46" s="86" t="str">
        <f>IF(ISBLANK(数据源!AW71),"",数据源!AW71)</f>
        <v/>
      </c>
      <c r="CQ46" s="86"/>
      <c r="CR46" s="86" t="str">
        <f>IF(ISBLANK(数据源!AX71),"",数据源!AX71)</f>
        <v/>
      </c>
      <c r="CS46" s="86" t="str">
        <f>IF(ISBLANK(数据源!AV71),"",数据源!AV71)</f>
        <v/>
      </c>
      <c r="CT46" s="86"/>
      <c r="CU46" s="87" t="s">
        <v>168</v>
      </c>
      <c r="CV46" s="86"/>
      <c r="CW46" s="86" t="str">
        <f>IF(ISBLANK(数据源!AU71),"",数据源!AU71)</f>
        <v/>
      </c>
      <c r="DA46" s="97">
        <f>IF(数据源!L71&lt;&gt;"QA",0,数据源!O71)</f>
        <v>0</v>
      </c>
      <c r="DB46" s="97">
        <f>数据源!M71</f>
        <v>0</v>
      </c>
      <c r="DC46" s="97">
        <f>数据源!N71</f>
        <v>0</v>
      </c>
      <c r="DD46" s="97">
        <f>IF(数据源!L71&lt;&gt;"QC",0,数据源!O71)</f>
        <v>0</v>
      </c>
    </row>
    <row r="47" spans="1:108">
      <c r="A47" s="1" t="str">
        <f>IF(数据源!K72="外检","#","")</f>
        <v/>
      </c>
      <c r="B47" s="2" t="str">
        <f>IF(ISBLANK(数据源!B72),"",数据源!B72)</f>
        <v/>
      </c>
      <c r="C47" s="2" t="str">
        <f>IF(ISBLANK(数据源!C72),"",IF(数据源!C72="/",数据源!F72,数据源!C72))</f>
        <v/>
      </c>
      <c r="D47" s="2" t="str">
        <f>IF(LEN(数据源!P72)=0,IF(LEN(数据源!D72)=0,"",数据源!D72),数据源!P72)</f>
        <v/>
      </c>
      <c r="E47" s="2"/>
      <c r="F47" s="2" t="str">
        <f>IF(ISBLANK(数据源!E72),"",数据源!E72)</f>
        <v/>
      </c>
      <c r="G47" s="2" t="str">
        <f>IF(ISBLANK(数据源!G72),"",IF(数据源!G72="A","合格","不合格"))</f>
        <v/>
      </c>
      <c r="H47" s="2" t="str">
        <f>IF(ISBLANK(数据源!H72),"",数据源!H72)</f>
        <v/>
      </c>
      <c r="I47" s="2" t="str">
        <f>IF(ISBLANK(数据源!J72),"",数据源!J72)</f>
        <v/>
      </c>
      <c r="J47" s="2" t="str">
        <f>IF(ISBLANK(数据源!L72),"",数据源!L72)</f>
        <v/>
      </c>
      <c r="K47" s="1" t="str">
        <f>IF(数据源!AD72="外检","#","")</f>
        <v/>
      </c>
      <c r="L47" s="2" t="str">
        <f>IF(ISBLANK(数据源!U72),"",数据源!U72)</f>
        <v/>
      </c>
      <c r="M47" s="2" t="str">
        <f>IF(ISBLANK(数据源!V72),"",IF(数据源!V72="/",数据源!Y72,数据源!V72))</f>
        <v/>
      </c>
      <c r="N47" s="2" t="str">
        <f>IF(LEN(数据源!AI72)=0,IF(LEN(数据源!W72)=0,"",数据源!W72),数据源!AI72)</f>
        <v/>
      </c>
      <c r="O47" s="1"/>
      <c r="P47" s="2" t="str">
        <f>IF(ISBLANK(数据源!X72),"",数据源!X72)</f>
        <v/>
      </c>
      <c r="Q47" s="2" t="str">
        <f>IF(ISBLANK(数据源!Z72),"",IF(数据源!Z72="A","合格","不合格"))</f>
        <v/>
      </c>
      <c r="R47" s="2" t="str">
        <f>IF(ISBLANK(数据源!AA72),"",数据源!AA72)</f>
        <v/>
      </c>
      <c r="S47" s="2" t="str">
        <f>IF(ISBLANK(数据源!AC72),"",数据源!AC72)</f>
        <v/>
      </c>
      <c r="T47" s="2" t="str">
        <f>IF(ISBLANK(数据源!AE72),"",数据源!AE72)</f>
        <v/>
      </c>
      <c r="AW47" s="1" t="str">
        <f>IF(数据源!K72="外检","#","")</f>
        <v/>
      </c>
      <c r="AX47" s="2" t="str">
        <f>IF(ISBLANK(数据源!Q72),"",数据源!Q72)</f>
        <v/>
      </c>
      <c r="AY47" s="2" t="str">
        <f>IF(ISBLANK(数据源!R72),"",数据源!R72)</f>
        <v/>
      </c>
      <c r="AZ47" s="2" t="str">
        <f>IF(LEN(数据源!P72)=0,IF(LEN(数据源!D72)=0,"",数据源!D72),数据源!P72)</f>
        <v/>
      </c>
      <c r="BA47" s="2"/>
      <c r="BB47" s="2" t="str">
        <f>IF(ISBLANK(数据源!E72),"",数据源!E72)</f>
        <v/>
      </c>
      <c r="BC47" s="2" t="str">
        <f>IF(ISBLANK(数据源!G72),"",IF(数据源!G72="A","Qualified","Unqualified"))</f>
        <v/>
      </c>
      <c r="BD47" s="2" t="str">
        <f>IF(ISBLANK(数据源!S72),"",数据源!S72)</f>
        <v/>
      </c>
      <c r="BE47" s="2" t="str">
        <f>IF(ISBLANK(数据源!J72),"",数据源!J72)</f>
        <v/>
      </c>
      <c r="BF47" s="2" t="str">
        <f>IF(ISBLANK(数据源!L72),"",数据源!L72)</f>
        <v/>
      </c>
      <c r="BG47" s="1" t="str">
        <f>IF(数据源!AD72="外检","#","")</f>
        <v/>
      </c>
      <c r="BH47" s="2" t="str">
        <f>IF(ISBLANK(数据源!AJ72),"",数据源!AJ72)</f>
        <v/>
      </c>
      <c r="BI47" s="2" t="str">
        <f>IF(ISBLANK(数据源!AK72),"",数据源!AK72)</f>
        <v/>
      </c>
      <c r="BJ47" s="2" t="str">
        <f>IF(LEN(数据源!AI72)=0,IF(LEN(数据源!W72)=0,"",数据源!W72),数据源!AI72)</f>
        <v/>
      </c>
      <c r="BK47" s="1"/>
      <c r="BL47" s="2" t="str">
        <f>IF(ISBLANK(数据源!X72),"",数据源!X72)</f>
        <v/>
      </c>
      <c r="BM47" s="2" t="str">
        <f>IF(ISBLANK(数据源!Z72),"",IF(数据源!Z72="A","Qualified","Unqualified"))</f>
        <v/>
      </c>
      <c r="BN47" s="2" t="str">
        <f>IF(ISBLANK(数据源!AL72),"",数据源!AL72)</f>
        <v/>
      </c>
      <c r="BO47" s="2" t="str">
        <f>IF(ISBLANK(数据源!AC72),"",数据源!AC72)</f>
        <v/>
      </c>
      <c r="BP47" s="2" t="str">
        <f>IF(ISBLANK(数据源!AE72),"",数据源!AE72)</f>
        <v/>
      </c>
      <c r="CP47" s="86" t="str">
        <f>IF(ISBLANK(数据源!AW72),"",数据源!AW72)</f>
        <v/>
      </c>
      <c r="CQ47" s="86"/>
      <c r="CR47" s="86" t="str">
        <f>IF(ISBLANK(数据源!AX72),"",数据源!AX72)</f>
        <v/>
      </c>
      <c r="CS47" s="86" t="str">
        <f>IF(ISBLANK(数据源!AV72),"",数据源!AV72)</f>
        <v/>
      </c>
      <c r="CT47" s="86"/>
      <c r="CU47" s="87" t="s">
        <v>168</v>
      </c>
      <c r="CV47" s="86"/>
      <c r="CW47" s="86" t="str">
        <f>IF(ISBLANK(数据源!AU72),"",数据源!AU72)</f>
        <v/>
      </c>
      <c r="DA47" s="97">
        <f>IF(数据源!L72&lt;&gt;"QA",0,数据源!O72)</f>
        <v>0</v>
      </c>
      <c r="DB47" s="97">
        <f>数据源!M72</f>
        <v>0</v>
      </c>
      <c r="DC47" s="97">
        <f>数据源!N72</f>
        <v>0</v>
      </c>
      <c r="DD47" s="97">
        <f>IF(数据源!L72&lt;&gt;"QC",0,数据源!O72)</f>
        <v>0</v>
      </c>
    </row>
    <row r="48" spans="1:108">
      <c r="A48" s="1" t="str">
        <f>IF(数据源!K73="外检","#","")</f>
        <v/>
      </c>
      <c r="B48" s="2" t="str">
        <f>IF(ISBLANK(数据源!B73),"",数据源!B73)</f>
        <v/>
      </c>
      <c r="C48" s="2" t="str">
        <f>IF(ISBLANK(数据源!C73),"",IF(数据源!C73="/",数据源!F73,数据源!C73))</f>
        <v/>
      </c>
      <c r="D48" s="2" t="str">
        <f>IF(LEN(数据源!P73)=0,IF(LEN(数据源!D73)=0,"",数据源!D73),数据源!P73)</f>
        <v/>
      </c>
      <c r="E48" s="2"/>
      <c r="F48" s="2" t="str">
        <f>IF(ISBLANK(数据源!E73),"",数据源!E73)</f>
        <v/>
      </c>
      <c r="G48" s="2" t="str">
        <f>IF(ISBLANK(数据源!G73),"",IF(数据源!G73="A","合格","不合格"))</f>
        <v/>
      </c>
      <c r="H48" s="2" t="str">
        <f>IF(ISBLANK(数据源!H73),"",数据源!H73)</f>
        <v/>
      </c>
      <c r="I48" s="2" t="str">
        <f>IF(ISBLANK(数据源!J73),"",数据源!J73)</f>
        <v/>
      </c>
      <c r="J48" s="2" t="str">
        <f>IF(ISBLANK(数据源!L73),"",数据源!L73)</f>
        <v/>
      </c>
      <c r="K48" s="1" t="str">
        <f>IF(数据源!AD73="外检","#","")</f>
        <v/>
      </c>
      <c r="L48" s="2" t="str">
        <f>IF(ISBLANK(数据源!U73),"",数据源!U73)</f>
        <v/>
      </c>
      <c r="M48" s="2" t="str">
        <f>IF(ISBLANK(数据源!V73),"",IF(数据源!V73="/",数据源!Y73,数据源!V73))</f>
        <v/>
      </c>
      <c r="N48" s="2" t="str">
        <f>IF(LEN(数据源!AI73)=0,IF(LEN(数据源!W73)=0,"",数据源!W73),数据源!AI73)</f>
        <v/>
      </c>
      <c r="O48" s="1"/>
      <c r="P48" s="2" t="str">
        <f>IF(ISBLANK(数据源!X73),"",数据源!X73)</f>
        <v/>
      </c>
      <c r="Q48" s="2" t="str">
        <f>IF(ISBLANK(数据源!Z73),"",IF(数据源!Z73="A","合格","不合格"))</f>
        <v/>
      </c>
      <c r="R48" s="2" t="str">
        <f>IF(ISBLANK(数据源!AA73),"",数据源!AA73)</f>
        <v/>
      </c>
      <c r="S48" s="2" t="str">
        <f>IF(ISBLANK(数据源!AC73),"",数据源!AC73)</f>
        <v/>
      </c>
      <c r="T48" s="2" t="str">
        <f>IF(ISBLANK(数据源!AE73),"",数据源!AE73)</f>
        <v/>
      </c>
      <c r="AW48" s="1" t="str">
        <f>IF(数据源!K73="外检","#","")</f>
        <v/>
      </c>
      <c r="AX48" s="2" t="str">
        <f>IF(ISBLANK(数据源!Q73),"",数据源!Q73)</f>
        <v/>
      </c>
      <c r="AY48" s="2" t="str">
        <f>IF(ISBLANK(数据源!R73),"",数据源!R73)</f>
        <v/>
      </c>
      <c r="AZ48" s="2" t="str">
        <f>IF(LEN(数据源!P73)=0,IF(LEN(数据源!D73)=0,"",数据源!D73),数据源!P73)</f>
        <v/>
      </c>
      <c r="BA48" s="2"/>
      <c r="BB48" s="2" t="str">
        <f>IF(ISBLANK(数据源!E73),"",数据源!E73)</f>
        <v/>
      </c>
      <c r="BC48" s="2" t="str">
        <f>IF(ISBLANK(数据源!G73),"",IF(数据源!G73="A","Qualified","Unqualified"))</f>
        <v/>
      </c>
      <c r="BD48" s="2" t="str">
        <f>IF(ISBLANK(数据源!S73),"",数据源!S73)</f>
        <v/>
      </c>
      <c r="BE48" s="2" t="str">
        <f>IF(ISBLANK(数据源!J73),"",数据源!J73)</f>
        <v/>
      </c>
      <c r="BF48" s="2" t="str">
        <f>IF(ISBLANK(数据源!L73),"",数据源!L73)</f>
        <v/>
      </c>
      <c r="BG48" s="1" t="str">
        <f>IF(数据源!AD73="外检","#","")</f>
        <v/>
      </c>
      <c r="BH48" s="2" t="str">
        <f>IF(ISBLANK(数据源!AJ73),"",数据源!AJ73)</f>
        <v/>
      </c>
      <c r="BI48" s="2" t="str">
        <f>IF(ISBLANK(数据源!AK73),"",数据源!AK73)</f>
        <v/>
      </c>
      <c r="BJ48" s="2" t="str">
        <f>IF(LEN(数据源!AI73)=0,IF(LEN(数据源!W73)=0,"",数据源!W73),数据源!AI73)</f>
        <v/>
      </c>
      <c r="BK48" s="1"/>
      <c r="BL48" s="2" t="str">
        <f>IF(ISBLANK(数据源!X73),"",数据源!X73)</f>
        <v/>
      </c>
      <c r="BM48" s="2" t="str">
        <f>IF(ISBLANK(数据源!Z73),"",IF(数据源!Z73="A","Qualified","Unqualified"))</f>
        <v/>
      </c>
      <c r="BN48" s="2" t="str">
        <f>IF(ISBLANK(数据源!AL73),"",数据源!AL73)</f>
        <v/>
      </c>
      <c r="BO48" s="2" t="str">
        <f>IF(ISBLANK(数据源!AC73),"",数据源!AC73)</f>
        <v/>
      </c>
      <c r="BP48" s="2" t="str">
        <f>IF(ISBLANK(数据源!AE73),"",数据源!AE73)</f>
        <v/>
      </c>
      <c r="CP48" s="86" t="str">
        <f>IF(ISBLANK(数据源!AW73),"",数据源!AW73)</f>
        <v/>
      </c>
      <c r="CQ48" s="86"/>
      <c r="CR48" s="86" t="str">
        <f>IF(ISBLANK(数据源!AX73),"",数据源!AX73)</f>
        <v/>
      </c>
      <c r="CS48" s="86" t="str">
        <f>IF(ISBLANK(数据源!AV73),"",数据源!AV73)</f>
        <v/>
      </c>
      <c r="CT48" s="86"/>
      <c r="CU48" s="87" t="s">
        <v>168</v>
      </c>
      <c r="CV48" s="86"/>
      <c r="CW48" s="86" t="str">
        <f>IF(ISBLANK(数据源!AU73),"",数据源!AU73)</f>
        <v/>
      </c>
      <c r="DA48" s="97">
        <f>IF(数据源!L73&lt;&gt;"QA",0,数据源!O73)</f>
        <v>0</v>
      </c>
      <c r="DB48" s="97">
        <f>数据源!M73</f>
        <v>0</v>
      </c>
      <c r="DC48" s="97">
        <f>数据源!N73</f>
        <v>0</v>
      </c>
      <c r="DD48" s="97">
        <f>IF(数据源!L73&lt;&gt;"QC",0,数据源!O73)</f>
        <v>0</v>
      </c>
    </row>
    <row r="49" spans="1:108">
      <c r="A49" s="1" t="str">
        <f>IF(数据源!K74="外检","#","")</f>
        <v/>
      </c>
      <c r="B49" s="2" t="str">
        <f>IF(ISBLANK(数据源!B74),"",数据源!B74)</f>
        <v/>
      </c>
      <c r="C49" s="2" t="str">
        <f>IF(ISBLANK(数据源!C74),"",IF(数据源!C74="/",数据源!F74,数据源!C74))</f>
        <v/>
      </c>
      <c r="D49" s="2" t="str">
        <f>IF(LEN(数据源!P74)=0,IF(LEN(数据源!D74)=0,"",数据源!D74),数据源!P74)</f>
        <v/>
      </c>
      <c r="E49" s="2"/>
      <c r="F49" s="2" t="str">
        <f>IF(ISBLANK(数据源!E74),"",数据源!E74)</f>
        <v/>
      </c>
      <c r="G49" s="2" t="str">
        <f>IF(ISBLANK(数据源!G74),"",IF(数据源!G74="A","合格","不合格"))</f>
        <v/>
      </c>
      <c r="H49" s="2" t="str">
        <f>IF(ISBLANK(数据源!H74),"",数据源!H74)</f>
        <v/>
      </c>
      <c r="I49" s="2" t="str">
        <f>IF(ISBLANK(数据源!J74),"",数据源!J74)</f>
        <v/>
      </c>
      <c r="J49" s="2" t="str">
        <f>IF(ISBLANK(数据源!L74),"",数据源!L74)</f>
        <v/>
      </c>
      <c r="K49" s="1" t="str">
        <f>IF(数据源!AD74="外检","#","")</f>
        <v/>
      </c>
      <c r="L49" s="2" t="str">
        <f>IF(ISBLANK(数据源!U74),"",数据源!U74)</f>
        <v/>
      </c>
      <c r="M49" s="2" t="str">
        <f>IF(ISBLANK(数据源!V74),"",IF(数据源!V74="/",数据源!Y74,数据源!V74))</f>
        <v/>
      </c>
      <c r="N49" s="2" t="str">
        <f>IF(LEN(数据源!AI74)=0,IF(LEN(数据源!W74)=0,"",数据源!W74),数据源!AI74)</f>
        <v/>
      </c>
      <c r="O49" s="1"/>
      <c r="P49" s="2" t="str">
        <f>IF(ISBLANK(数据源!X74),"",数据源!X74)</f>
        <v/>
      </c>
      <c r="Q49" s="2" t="str">
        <f>IF(ISBLANK(数据源!Z74),"",IF(数据源!Z74="A","合格","不合格"))</f>
        <v/>
      </c>
      <c r="R49" s="2" t="str">
        <f>IF(ISBLANK(数据源!AA74),"",数据源!AA74)</f>
        <v/>
      </c>
      <c r="S49" s="2" t="str">
        <f>IF(ISBLANK(数据源!AC74),"",数据源!AC74)</f>
        <v/>
      </c>
      <c r="T49" s="2" t="str">
        <f>IF(ISBLANK(数据源!AE74),"",数据源!AE74)</f>
        <v/>
      </c>
      <c r="AW49" s="1" t="str">
        <f>IF(数据源!K74="外检","#","")</f>
        <v/>
      </c>
      <c r="AX49" s="2" t="str">
        <f>IF(ISBLANK(数据源!Q74),"",数据源!Q74)</f>
        <v/>
      </c>
      <c r="AY49" s="2" t="str">
        <f>IF(ISBLANK(数据源!R74),"",数据源!R74)</f>
        <v/>
      </c>
      <c r="AZ49" s="2" t="str">
        <f>IF(LEN(数据源!P74)=0,IF(LEN(数据源!D74)=0,"",数据源!D74),数据源!P74)</f>
        <v/>
      </c>
      <c r="BA49" s="2"/>
      <c r="BB49" s="2" t="str">
        <f>IF(ISBLANK(数据源!E74),"",数据源!E74)</f>
        <v/>
      </c>
      <c r="BC49" s="2" t="str">
        <f>IF(ISBLANK(数据源!G74),"",IF(数据源!G74="A","Qualified","Unqualified"))</f>
        <v/>
      </c>
      <c r="BD49" s="2" t="str">
        <f>IF(ISBLANK(数据源!S74),"",数据源!S74)</f>
        <v/>
      </c>
      <c r="BE49" s="2" t="str">
        <f>IF(ISBLANK(数据源!J74),"",数据源!J74)</f>
        <v/>
      </c>
      <c r="BF49" s="2" t="str">
        <f>IF(ISBLANK(数据源!L74),"",数据源!L74)</f>
        <v/>
      </c>
      <c r="BG49" s="1" t="str">
        <f>IF(数据源!AD74="外检","#","")</f>
        <v/>
      </c>
      <c r="BH49" s="2" t="str">
        <f>IF(ISBLANK(数据源!AJ74),"",数据源!AJ74)</f>
        <v/>
      </c>
      <c r="BI49" s="2" t="str">
        <f>IF(ISBLANK(数据源!AK74),"",数据源!AK74)</f>
        <v/>
      </c>
      <c r="BJ49" s="2" t="str">
        <f>IF(LEN(数据源!AI74)=0,IF(LEN(数据源!W74)=0,"",数据源!W74),数据源!AI74)</f>
        <v/>
      </c>
      <c r="BK49" s="1"/>
      <c r="BL49" s="2" t="str">
        <f>IF(ISBLANK(数据源!X74),"",数据源!X74)</f>
        <v/>
      </c>
      <c r="BM49" s="2" t="str">
        <f>IF(ISBLANK(数据源!Z74),"",IF(数据源!Z74="A","Qualified","Unqualified"))</f>
        <v/>
      </c>
      <c r="BN49" s="2" t="str">
        <f>IF(ISBLANK(数据源!AL74),"",数据源!AL74)</f>
        <v/>
      </c>
      <c r="BO49" s="2" t="str">
        <f>IF(ISBLANK(数据源!AC74),"",数据源!AC74)</f>
        <v/>
      </c>
      <c r="BP49" s="2" t="str">
        <f>IF(ISBLANK(数据源!AE74),"",数据源!AE74)</f>
        <v/>
      </c>
      <c r="CP49" s="86" t="str">
        <f>IF(ISBLANK(数据源!AW74),"",数据源!AW74)</f>
        <v/>
      </c>
      <c r="CQ49" s="86"/>
      <c r="CR49" s="86" t="str">
        <f>IF(ISBLANK(数据源!AX74),"",数据源!AX74)</f>
        <v/>
      </c>
      <c r="CS49" s="86" t="str">
        <f>IF(ISBLANK(数据源!AV74),"",数据源!AV74)</f>
        <v/>
      </c>
      <c r="CT49" s="86"/>
      <c r="CU49" s="87" t="s">
        <v>168</v>
      </c>
      <c r="CV49" s="86"/>
      <c r="CW49" s="86" t="str">
        <f>IF(ISBLANK(数据源!AU74),"",数据源!AU74)</f>
        <v/>
      </c>
      <c r="DA49" s="97">
        <f>IF(数据源!L74&lt;&gt;"QA",0,数据源!O74)</f>
        <v>0</v>
      </c>
      <c r="DB49" s="97">
        <f>数据源!M74</f>
        <v>0</v>
      </c>
      <c r="DC49" s="97">
        <f>数据源!N74</f>
        <v>0</v>
      </c>
      <c r="DD49" s="97">
        <f>IF(数据源!L74&lt;&gt;"QC",0,数据源!O74)</f>
        <v>0</v>
      </c>
    </row>
    <row r="50" spans="1:108">
      <c r="A50" s="1" t="str">
        <f>IF(数据源!K75="外检","#","")</f>
        <v/>
      </c>
      <c r="B50" s="2" t="str">
        <f>IF(ISBLANK(数据源!B75),"",数据源!B75)</f>
        <v/>
      </c>
      <c r="C50" s="2" t="str">
        <f>IF(ISBLANK(数据源!C75),"",IF(数据源!C75="/",数据源!F75,数据源!C75))</f>
        <v/>
      </c>
      <c r="D50" s="2" t="str">
        <f>IF(LEN(数据源!P75)=0,IF(LEN(数据源!D75)=0,"",数据源!D75),数据源!P75)</f>
        <v/>
      </c>
      <c r="E50" s="2"/>
      <c r="F50" s="2" t="str">
        <f>IF(ISBLANK(数据源!E75),"",数据源!E75)</f>
        <v/>
      </c>
      <c r="G50" s="2" t="str">
        <f>IF(ISBLANK(数据源!G75),"",IF(数据源!G75="A","合格","不合格"))</f>
        <v/>
      </c>
      <c r="H50" s="2" t="str">
        <f>IF(ISBLANK(数据源!H75),"",数据源!H75)</f>
        <v/>
      </c>
      <c r="I50" s="2" t="str">
        <f>IF(ISBLANK(数据源!J75),"",数据源!J75)</f>
        <v/>
      </c>
      <c r="J50" s="2" t="str">
        <f>IF(ISBLANK(数据源!L75),"",数据源!L75)</f>
        <v/>
      </c>
      <c r="K50" s="1" t="str">
        <f>IF(数据源!AD75="外检","#","")</f>
        <v/>
      </c>
      <c r="L50" s="2" t="str">
        <f>IF(ISBLANK(数据源!U75),"",数据源!U75)</f>
        <v/>
      </c>
      <c r="M50" s="2" t="str">
        <f>IF(ISBLANK(数据源!V75),"",IF(数据源!V75="/",数据源!Y75,数据源!V75))</f>
        <v/>
      </c>
      <c r="N50" s="2" t="str">
        <f>IF(LEN(数据源!AI75)=0,IF(LEN(数据源!W75)=0,"",数据源!W75),数据源!AI75)</f>
        <v/>
      </c>
      <c r="O50" s="1"/>
      <c r="P50" s="2" t="str">
        <f>IF(ISBLANK(数据源!X75),"",数据源!X75)</f>
        <v/>
      </c>
      <c r="Q50" s="2" t="str">
        <f>IF(ISBLANK(数据源!Z75),"",IF(数据源!Z75="A","合格","不合格"))</f>
        <v/>
      </c>
      <c r="R50" s="2" t="str">
        <f>IF(ISBLANK(数据源!AA75),"",数据源!AA75)</f>
        <v/>
      </c>
      <c r="S50" s="2" t="str">
        <f>IF(ISBLANK(数据源!AC75),"",数据源!AC75)</f>
        <v/>
      </c>
      <c r="T50" s="2" t="str">
        <f>IF(ISBLANK(数据源!AE75),"",数据源!AE75)</f>
        <v/>
      </c>
      <c r="AW50" s="1" t="str">
        <f>IF(数据源!K75="外检","#","")</f>
        <v/>
      </c>
      <c r="AX50" s="2" t="str">
        <f>IF(ISBLANK(数据源!Q75),"",数据源!Q75)</f>
        <v/>
      </c>
      <c r="AY50" s="2" t="str">
        <f>IF(ISBLANK(数据源!R75),"",数据源!R75)</f>
        <v/>
      </c>
      <c r="AZ50" s="2" t="str">
        <f>IF(LEN(数据源!P75)=0,IF(LEN(数据源!D75)=0,"",数据源!D75),数据源!P75)</f>
        <v/>
      </c>
      <c r="BA50" s="2"/>
      <c r="BB50" s="2" t="str">
        <f>IF(ISBLANK(数据源!E75),"",数据源!E75)</f>
        <v/>
      </c>
      <c r="BC50" s="2" t="str">
        <f>IF(ISBLANK(数据源!G75),"",IF(数据源!G75="A","Qualified","Unqualified"))</f>
        <v/>
      </c>
      <c r="BD50" s="2" t="str">
        <f>IF(ISBLANK(数据源!S75),"",数据源!S75)</f>
        <v/>
      </c>
      <c r="BE50" s="2" t="str">
        <f>IF(ISBLANK(数据源!J75),"",数据源!J75)</f>
        <v/>
      </c>
      <c r="BF50" s="2" t="str">
        <f>IF(ISBLANK(数据源!L75),"",数据源!L75)</f>
        <v/>
      </c>
      <c r="BG50" s="1" t="str">
        <f>IF(数据源!AD75="外检","#","")</f>
        <v/>
      </c>
      <c r="BH50" s="2" t="str">
        <f>IF(ISBLANK(数据源!AJ75),"",数据源!AJ75)</f>
        <v/>
      </c>
      <c r="BI50" s="2" t="str">
        <f>IF(ISBLANK(数据源!AK75),"",数据源!AK75)</f>
        <v/>
      </c>
      <c r="BJ50" s="2" t="str">
        <f>IF(LEN(数据源!AI75)=0,IF(LEN(数据源!W75)=0,"",数据源!W75),数据源!AI75)</f>
        <v/>
      </c>
      <c r="BK50" s="1"/>
      <c r="BL50" s="2" t="str">
        <f>IF(ISBLANK(数据源!X75),"",数据源!X75)</f>
        <v/>
      </c>
      <c r="BM50" s="2" t="str">
        <f>IF(ISBLANK(数据源!Z75),"",IF(数据源!Z75="A","Qualified","Unqualified"))</f>
        <v/>
      </c>
      <c r="BN50" s="2" t="str">
        <f>IF(ISBLANK(数据源!AL75),"",数据源!AL75)</f>
        <v/>
      </c>
      <c r="BO50" s="2" t="str">
        <f>IF(ISBLANK(数据源!AC75),"",数据源!AC75)</f>
        <v/>
      </c>
      <c r="BP50" s="2" t="str">
        <f>IF(ISBLANK(数据源!AE75),"",数据源!AE75)</f>
        <v/>
      </c>
      <c r="CP50" s="86" t="str">
        <f>IF(ISBLANK(数据源!AW75),"",数据源!AW75)</f>
        <v/>
      </c>
      <c r="CQ50" s="86"/>
      <c r="CR50" s="86" t="str">
        <f>IF(ISBLANK(数据源!AX75),"",数据源!AX75)</f>
        <v/>
      </c>
      <c r="CS50" s="86" t="str">
        <f>IF(ISBLANK(数据源!AV75),"",数据源!AV75)</f>
        <v/>
      </c>
      <c r="CT50" s="86"/>
      <c r="CU50" s="87" t="s">
        <v>168</v>
      </c>
      <c r="CV50" s="86"/>
      <c r="CW50" s="86" t="str">
        <f>IF(ISBLANK(数据源!AU75),"",数据源!AU75)</f>
        <v/>
      </c>
      <c r="DA50" s="97">
        <f>IF(数据源!L75&lt;&gt;"QA",0,数据源!O75)</f>
        <v>0</v>
      </c>
      <c r="DB50" s="97">
        <f>数据源!M75</f>
        <v>0</v>
      </c>
      <c r="DC50" s="97">
        <f>数据源!N75</f>
        <v>0</v>
      </c>
      <c r="DD50" s="97">
        <f>IF(数据源!L75&lt;&gt;"QC",0,数据源!O75)</f>
        <v>0</v>
      </c>
    </row>
    <row r="51" spans="1:108">
      <c r="A51" s="1" t="str">
        <f>IF(数据源!K76="外检","#","")</f>
        <v/>
      </c>
      <c r="B51" s="2" t="str">
        <f>IF(ISBLANK(数据源!B76),"",数据源!B76)</f>
        <v/>
      </c>
      <c r="C51" s="2" t="str">
        <f>IF(ISBLANK(数据源!C76),"",IF(数据源!C76="/",数据源!F76,数据源!C76))</f>
        <v/>
      </c>
      <c r="D51" s="2" t="str">
        <f>IF(LEN(数据源!P76)=0,IF(LEN(数据源!D76)=0,"",数据源!D76),数据源!P76)</f>
        <v/>
      </c>
      <c r="E51" s="2"/>
      <c r="F51" s="2" t="str">
        <f>IF(ISBLANK(数据源!E76),"",数据源!E76)</f>
        <v/>
      </c>
      <c r="G51" s="2" t="str">
        <f>IF(ISBLANK(数据源!G76),"",IF(数据源!G76="A","合格","不合格"))</f>
        <v/>
      </c>
      <c r="H51" s="2" t="str">
        <f>IF(ISBLANK(数据源!H76),"",数据源!H76)</f>
        <v/>
      </c>
      <c r="I51" s="2" t="str">
        <f>IF(ISBLANK(数据源!J76),"",数据源!J76)</f>
        <v/>
      </c>
      <c r="J51" s="2" t="str">
        <f>IF(ISBLANK(数据源!L76),"",数据源!L76)</f>
        <v/>
      </c>
      <c r="K51" s="1" t="str">
        <f>IF(数据源!AD76="外检","#","")</f>
        <v/>
      </c>
      <c r="L51" s="2" t="str">
        <f>IF(ISBLANK(数据源!U76),"",数据源!U76)</f>
        <v/>
      </c>
      <c r="M51" s="2" t="str">
        <f>IF(ISBLANK(数据源!V76),"",IF(数据源!V76="/",数据源!Y76,数据源!V76))</f>
        <v/>
      </c>
      <c r="N51" s="2" t="str">
        <f>IF(LEN(数据源!AI76)=0,IF(LEN(数据源!W76)=0,"",数据源!W76),数据源!AI76)</f>
        <v/>
      </c>
      <c r="O51" s="1"/>
      <c r="P51" s="2" t="str">
        <f>IF(ISBLANK(数据源!X76),"",数据源!X76)</f>
        <v/>
      </c>
      <c r="Q51" s="2" t="str">
        <f>IF(ISBLANK(数据源!Z76),"",IF(数据源!Z76="A","合格","不合格"))</f>
        <v/>
      </c>
      <c r="R51" s="2" t="str">
        <f>IF(ISBLANK(数据源!AA76),"",数据源!AA76)</f>
        <v/>
      </c>
      <c r="S51" s="2" t="str">
        <f>IF(ISBLANK(数据源!AC76),"",数据源!AC76)</f>
        <v/>
      </c>
      <c r="T51" s="2" t="str">
        <f>IF(ISBLANK(数据源!AE76),"",数据源!AE76)</f>
        <v/>
      </c>
      <c r="AW51" s="1" t="str">
        <f>IF(数据源!K76="外检","#","")</f>
        <v/>
      </c>
      <c r="AX51" s="2" t="str">
        <f>IF(ISBLANK(数据源!Q76),"",数据源!Q76)</f>
        <v/>
      </c>
      <c r="AY51" s="2" t="str">
        <f>IF(ISBLANK(数据源!R76),"",数据源!R76)</f>
        <v/>
      </c>
      <c r="AZ51" s="2" t="str">
        <f>IF(LEN(数据源!P76)=0,IF(LEN(数据源!D76)=0,"",数据源!D76),数据源!P76)</f>
        <v/>
      </c>
      <c r="BA51" s="2"/>
      <c r="BB51" s="2" t="str">
        <f>IF(ISBLANK(数据源!E76),"",数据源!E76)</f>
        <v/>
      </c>
      <c r="BC51" s="2" t="str">
        <f>IF(ISBLANK(数据源!G76),"",IF(数据源!G76="A","Qualified","Unqualified"))</f>
        <v/>
      </c>
      <c r="BD51" s="2" t="str">
        <f>IF(ISBLANK(数据源!S76),"",数据源!S76)</f>
        <v/>
      </c>
      <c r="BE51" s="2" t="str">
        <f>IF(ISBLANK(数据源!J76),"",数据源!J76)</f>
        <v/>
      </c>
      <c r="BF51" s="2" t="str">
        <f>IF(ISBLANK(数据源!L76),"",数据源!L76)</f>
        <v/>
      </c>
      <c r="BG51" s="1" t="str">
        <f>IF(数据源!AD76="外检","#","")</f>
        <v/>
      </c>
      <c r="BH51" s="2" t="str">
        <f>IF(ISBLANK(数据源!AJ76),"",数据源!AJ76)</f>
        <v/>
      </c>
      <c r="BI51" s="2" t="str">
        <f>IF(ISBLANK(数据源!AK76),"",数据源!AK76)</f>
        <v/>
      </c>
      <c r="BJ51" s="2" t="str">
        <f>IF(LEN(数据源!AI76)=0,IF(LEN(数据源!W76)=0,"",数据源!W76),数据源!AI76)</f>
        <v/>
      </c>
      <c r="BK51" s="1"/>
      <c r="BL51" s="2" t="str">
        <f>IF(ISBLANK(数据源!X76),"",数据源!X76)</f>
        <v/>
      </c>
      <c r="BM51" s="2" t="str">
        <f>IF(ISBLANK(数据源!Z76),"",IF(数据源!Z76="A","Qualified","Unqualified"))</f>
        <v/>
      </c>
      <c r="BN51" s="2" t="str">
        <f>IF(ISBLANK(数据源!AL76),"",数据源!AL76)</f>
        <v/>
      </c>
      <c r="BO51" s="2" t="str">
        <f>IF(ISBLANK(数据源!AC76),"",数据源!AC76)</f>
        <v/>
      </c>
      <c r="BP51" s="2" t="str">
        <f>IF(ISBLANK(数据源!AE76),"",数据源!AE76)</f>
        <v/>
      </c>
      <c r="CP51" s="86" t="str">
        <f>IF(ISBLANK(数据源!AW76),"",数据源!AW76)</f>
        <v/>
      </c>
      <c r="CQ51" s="86"/>
      <c r="CR51" s="86" t="str">
        <f>IF(ISBLANK(数据源!AX76),"",数据源!AX76)</f>
        <v/>
      </c>
      <c r="CS51" s="86" t="str">
        <f>IF(ISBLANK(数据源!AV76),"",数据源!AV76)</f>
        <v/>
      </c>
      <c r="CT51" s="86"/>
      <c r="CU51" s="87" t="s">
        <v>168</v>
      </c>
      <c r="CV51" s="86"/>
      <c r="CW51" s="86" t="str">
        <f>IF(ISBLANK(数据源!AU76),"",数据源!AU76)</f>
        <v/>
      </c>
      <c r="DA51" s="97">
        <f>IF(数据源!L76&lt;&gt;"QA",0,数据源!O76)</f>
        <v>0</v>
      </c>
      <c r="DB51" s="97">
        <f>数据源!M76</f>
        <v>0</v>
      </c>
      <c r="DC51" s="97">
        <f>数据源!N76</f>
        <v>0</v>
      </c>
      <c r="DD51" s="97">
        <f>IF(数据源!L76&lt;&gt;"QC",0,数据源!O76)</f>
        <v>0</v>
      </c>
    </row>
    <row r="52" spans="1:108">
      <c r="A52" s="1" t="str">
        <f>IF(数据源!K77="外检","#","")</f>
        <v/>
      </c>
      <c r="B52" s="2" t="str">
        <f>IF(ISBLANK(数据源!B77),"",数据源!B77)</f>
        <v/>
      </c>
      <c r="C52" s="2" t="str">
        <f>IF(ISBLANK(数据源!C77),"",IF(数据源!C77="/",数据源!F77,数据源!C77))</f>
        <v/>
      </c>
      <c r="D52" s="2" t="str">
        <f>IF(LEN(数据源!P77)=0,IF(LEN(数据源!D77)=0,"",数据源!D77),数据源!P77)</f>
        <v/>
      </c>
      <c r="E52" s="2"/>
      <c r="F52" s="2" t="str">
        <f>IF(ISBLANK(数据源!E77),"",数据源!E77)</f>
        <v/>
      </c>
      <c r="G52" s="2" t="str">
        <f>IF(ISBLANK(数据源!G77),"",IF(数据源!G77="A","合格","不合格"))</f>
        <v/>
      </c>
      <c r="H52" s="2" t="str">
        <f>IF(ISBLANK(数据源!H77),"",数据源!H77)</f>
        <v/>
      </c>
      <c r="I52" s="2" t="str">
        <f>IF(ISBLANK(数据源!J77),"",数据源!J77)</f>
        <v/>
      </c>
      <c r="J52" s="2" t="str">
        <f>IF(ISBLANK(数据源!L77),"",数据源!L77)</f>
        <v/>
      </c>
      <c r="K52" s="1" t="str">
        <f>IF(数据源!AD77="外检","#","")</f>
        <v/>
      </c>
      <c r="L52" s="2" t="str">
        <f>IF(ISBLANK(数据源!U77),"",数据源!U77)</f>
        <v/>
      </c>
      <c r="M52" s="2" t="str">
        <f>IF(ISBLANK(数据源!V77),"",IF(数据源!V77="/",数据源!Y77,数据源!V77))</f>
        <v/>
      </c>
      <c r="N52" s="2" t="str">
        <f>IF(LEN(数据源!AI77)=0,IF(LEN(数据源!W77)=0,"",数据源!W77),数据源!AI77)</f>
        <v/>
      </c>
      <c r="O52" s="1"/>
      <c r="P52" s="2" t="str">
        <f>IF(ISBLANK(数据源!X77),"",数据源!X77)</f>
        <v/>
      </c>
      <c r="Q52" s="2" t="str">
        <f>IF(ISBLANK(数据源!Z77),"",IF(数据源!Z77="A","合格","不合格"))</f>
        <v/>
      </c>
      <c r="R52" s="2" t="str">
        <f>IF(ISBLANK(数据源!AA77),"",数据源!AA77)</f>
        <v/>
      </c>
      <c r="S52" s="2" t="str">
        <f>IF(ISBLANK(数据源!AC77),"",数据源!AC77)</f>
        <v/>
      </c>
      <c r="T52" s="2" t="str">
        <f>IF(ISBLANK(数据源!AE77),"",数据源!AE77)</f>
        <v/>
      </c>
      <c r="AW52" s="1" t="str">
        <f>IF(数据源!K77="外检","#","")</f>
        <v/>
      </c>
      <c r="AX52" s="2" t="str">
        <f>IF(ISBLANK(数据源!Q77),"",数据源!Q77)</f>
        <v/>
      </c>
      <c r="AY52" s="2" t="str">
        <f>IF(ISBLANK(数据源!R77),"",数据源!R77)</f>
        <v/>
      </c>
      <c r="AZ52" s="2" t="str">
        <f>IF(LEN(数据源!P77)=0,IF(LEN(数据源!D77)=0,"",数据源!D77),数据源!P77)</f>
        <v/>
      </c>
      <c r="BA52" s="2"/>
      <c r="BB52" s="2" t="str">
        <f>IF(ISBLANK(数据源!E77),"",数据源!E77)</f>
        <v/>
      </c>
      <c r="BC52" s="2" t="str">
        <f>IF(ISBLANK(数据源!G77),"",IF(数据源!G77="A","Qualified","Unqualified"))</f>
        <v/>
      </c>
      <c r="BD52" s="2" t="str">
        <f>IF(ISBLANK(数据源!S77),"",数据源!S77)</f>
        <v/>
      </c>
      <c r="BE52" s="2" t="str">
        <f>IF(ISBLANK(数据源!J77),"",数据源!J77)</f>
        <v/>
      </c>
      <c r="BF52" s="2" t="str">
        <f>IF(ISBLANK(数据源!L77),"",数据源!L77)</f>
        <v/>
      </c>
      <c r="BG52" s="1" t="str">
        <f>IF(数据源!AD77="外检","#","")</f>
        <v/>
      </c>
      <c r="BH52" s="2" t="str">
        <f>IF(ISBLANK(数据源!AJ77),"",数据源!AJ77)</f>
        <v/>
      </c>
      <c r="BI52" s="2" t="str">
        <f>IF(ISBLANK(数据源!AK77),"",数据源!AK77)</f>
        <v/>
      </c>
      <c r="BJ52" s="2" t="str">
        <f>IF(LEN(数据源!AI77)=0,IF(LEN(数据源!W77)=0,"",数据源!W77),数据源!AI77)</f>
        <v/>
      </c>
      <c r="BK52" s="1"/>
      <c r="BL52" s="2" t="str">
        <f>IF(ISBLANK(数据源!X77),"",数据源!X77)</f>
        <v/>
      </c>
      <c r="BM52" s="2" t="str">
        <f>IF(ISBLANK(数据源!Z77),"",IF(数据源!Z77="A","Qualified","Unqualified"))</f>
        <v/>
      </c>
      <c r="BN52" s="2" t="str">
        <f>IF(ISBLANK(数据源!AL77),"",数据源!AL77)</f>
        <v/>
      </c>
      <c r="BO52" s="2" t="str">
        <f>IF(ISBLANK(数据源!AC77),"",数据源!AC77)</f>
        <v/>
      </c>
      <c r="BP52" s="2" t="str">
        <f>IF(ISBLANK(数据源!AE77),"",数据源!AE77)</f>
        <v/>
      </c>
      <c r="CP52" s="86" t="str">
        <f>IF(ISBLANK(数据源!AW77),"",数据源!AW77)</f>
        <v/>
      </c>
      <c r="CQ52" s="86"/>
      <c r="CR52" s="86" t="str">
        <f>IF(ISBLANK(数据源!AX77),"",数据源!AX77)</f>
        <v/>
      </c>
      <c r="CS52" s="86" t="str">
        <f>IF(ISBLANK(数据源!AV77),"",数据源!AV77)</f>
        <v/>
      </c>
      <c r="CT52" s="86"/>
      <c r="CU52" s="87" t="s">
        <v>168</v>
      </c>
      <c r="CV52" s="86"/>
      <c r="CW52" s="86" t="str">
        <f>IF(ISBLANK(数据源!AU77),"",数据源!AU77)</f>
        <v/>
      </c>
      <c r="DA52" s="97">
        <f>IF(数据源!L77&lt;&gt;"QA",0,数据源!O77)</f>
        <v>0</v>
      </c>
      <c r="DB52" s="97">
        <f>数据源!M77</f>
        <v>0</v>
      </c>
      <c r="DC52" s="97">
        <f>数据源!N77</f>
        <v>0</v>
      </c>
      <c r="DD52" s="97">
        <f>IF(数据源!L77&lt;&gt;"QC",0,数据源!O77)</f>
        <v>0</v>
      </c>
    </row>
    <row r="53" spans="1:108">
      <c r="A53" s="1" t="str">
        <f>IF(数据源!K78="外检","#","")</f>
        <v/>
      </c>
      <c r="B53" s="2" t="str">
        <f>IF(ISBLANK(数据源!B78),"",数据源!B78)</f>
        <v/>
      </c>
      <c r="C53" s="2" t="str">
        <f>IF(ISBLANK(数据源!C78),"",IF(数据源!C78="/",数据源!F78,数据源!C78))</f>
        <v/>
      </c>
      <c r="D53" s="2" t="str">
        <f>IF(LEN(数据源!P78)=0,IF(LEN(数据源!D78)=0,"",数据源!D78),数据源!P78)</f>
        <v/>
      </c>
      <c r="E53" s="2"/>
      <c r="F53" s="2" t="str">
        <f>IF(ISBLANK(数据源!E78),"",数据源!E78)</f>
        <v/>
      </c>
      <c r="G53" s="2" t="str">
        <f>IF(ISBLANK(数据源!G78),"",IF(数据源!G78="A","合格","不合格"))</f>
        <v/>
      </c>
      <c r="H53" s="2" t="str">
        <f>IF(ISBLANK(数据源!H78),"",数据源!H78)</f>
        <v/>
      </c>
      <c r="I53" s="2" t="str">
        <f>IF(ISBLANK(数据源!J78),"",数据源!J78)</f>
        <v/>
      </c>
      <c r="J53" s="2" t="str">
        <f>IF(ISBLANK(数据源!L78),"",数据源!L78)</f>
        <v/>
      </c>
      <c r="K53" s="1" t="str">
        <f>IF(数据源!AD78="外检","#","")</f>
        <v/>
      </c>
      <c r="L53" s="2" t="str">
        <f>IF(ISBLANK(数据源!U78),"",数据源!U78)</f>
        <v/>
      </c>
      <c r="M53" s="2" t="str">
        <f>IF(ISBLANK(数据源!V78),"",IF(数据源!V78="/",数据源!Y78,数据源!V78))</f>
        <v/>
      </c>
      <c r="N53" s="2" t="str">
        <f>IF(LEN(数据源!AI78)=0,IF(LEN(数据源!W78)=0,"",数据源!W78),数据源!AI78)</f>
        <v/>
      </c>
      <c r="O53" s="1"/>
      <c r="P53" s="2" t="str">
        <f>IF(ISBLANK(数据源!X78),"",数据源!X78)</f>
        <v/>
      </c>
      <c r="Q53" s="2" t="str">
        <f>IF(ISBLANK(数据源!Z78),"",IF(数据源!Z78="A","合格","不合格"))</f>
        <v/>
      </c>
      <c r="R53" s="2" t="str">
        <f>IF(ISBLANK(数据源!AA78),"",数据源!AA78)</f>
        <v/>
      </c>
      <c r="S53" s="2" t="str">
        <f>IF(ISBLANK(数据源!AC78),"",数据源!AC78)</f>
        <v/>
      </c>
      <c r="T53" s="2" t="str">
        <f>IF(ISBLANK(数据源!AE78),"",数据源!AE78)</f>
        <v/>
      </c>
      <c r="AW53" s="1" t="str">
        <f>IF(数据源!K78="外检","#","")</f>
        <v/>
      </c>
      <c r="AX53" s="2" t="str">
        <f>IF(ISBLANK(数据源!Q78),"",数据源!Q78)</f>
        <v/>
      </c>
      <c r="AY53" s="2" t="str">
        <f>IF(ISBLANK(数据源!R78),"",数据源!R78)</f>
        <v/>
      </c>
      <c r="AZ53" s="2" t="str">
        <f>IF(LEN(数据源!P78)=0,IF(LEN(数据源!D78)=0,"",数据源!D78),数据源!P78)</f>
        <v/>
      </c>
      <c r="BA53" s="2"/>
      <c r="BB53" s="2" t="str">
        <f>IF(ISBLANK(数据源!E78),"",数据源!E78)</f>
        <v/>
      </c>
      <c r="BC53" s="2" t="str">
        <f>IF(ISBLANK(数据源!G78),"",IF(数据源!G78="A","Qualified","Unqualified"))</f>
        <v/>
      </c>
      <c r="BD53" s="2" t="str">
        <f>IF(ISBLANK(数据源!S78),"",数据源!S78)</f>
        <v/>
      </c>
      <c r="BE53" s="2" t="str">
        <f>IF(ISBLANK(数据源!J78),"",数据源!J78)</f>
        <v/>
      </c>
      <c r="BF53" s="2" t="str">
        <f>IF(ISBLANK(数据源!L78),"",数据源!L78)</f>
        <v/>
      </c>
      <c r="BG53" s="1" t="str">
        <f>IF(数据源!AD78="外检","#","")</f>
        <v/>
      </c>
      <c r="BH53" s="2" t="str">
        <f>IF(ISBLANK(数据源!AJ78),"",数据源!AJ78)</f>
        <v/>
      </c>
      <c r="BI53" s="2" t="str">
        <f>IF(ISBLANK(数据源!AK78),"",数据源!AK78)</f>
        <v/>
      </c>
      <c r="BJ53" s="2" t="str">
        <f>IF(LEN(数据源!AI78)=0,IF(LEN(数据源!W78)=0,"",数据源!W78),数据源!AI78)</f>
        <v/>
      </c>
      <c r="BK53" s="1"/>
      <c r="BL53" s="2" t="str">
        <f>IF(ISBLANK(数据源!X78),"",数据源!X78)</f>
        <v/>
      </c>
      <c r="BM53" s="2" t="str">
        <f>IF(ISBLANK(数据源!Z78),"",IF(数据源!Z78="A","Qualified","Unqualified"))</f>
        <v/>
      </c>
      <c r="BN53" s="2" t="str">
        <f>IF(ISBLANK(数据源!AL78),"",数据源!AL78)</f>
        <v/>
      </c>
      <c r="BO53" s="2" t="str">
        <f>IF(ISBLANK(数据源!AC78),"",数据源!AC78)</f>
        <v/>
      </c>
      <c r="BP53" s="2" t="str">
        <f>IF(ISBLANK(数据源!AE78),"",数据源!AE78)</f>
        <v/>
      </c>
      <c r="CP53" s="86" t="str">
        <f>IF(ISBLANK(数据源!AW78),"",数据源!AW78)</f>
        <v/>
      </c>
      <c r="CQ53" s="86"/>
      <c r="CR53" s="86" t="str">
        <f>IF(ISBLANK(数据源!AX78),"",数据源!AX78)</f>
        <v/>
      </c>
      <c r="CS53" s="86" t="str">
        <f>IF(ISBLANK(数据源!AV78),"",数据源!AV78)</f>
        <v/>
      </c>
      <c r="CT53" s="86"/>
      <c r="CU53" s="87" t="s">
        <v>168</v>
      </c>
      <c r="CV53" s="86"/>
      <c r="CW53" s="86" t="str">
        <f>IF(ISBLANK(数据源!AU78),"",数据源!AU78)</f>
        <v/>
      </c>
      <c r="DA53" s="97">
        <f>IF(数据源!L78&lt;&gt;"QA",0,数据源!O78)</f>
        <v>0</v>
      </c>
      <c r="DB53" s="97">
        <f>数据源!M78</f>
        <v>0</v>
      </c>
      <c r="DC53" s="97">
        <f>数据源!N78</f>
        <v>0</v>
      </c>
      <c r="DD53" s="97">
        <f>IF(数据源!L78&lt;&gt;"QC",0,数据源!O78)</f>
        <v>0</v>
      </c>
    </row>
    <row r="54" spans="1:108">
      <c r="A54" s="1" t="str">
        <f>IF(数据源!K79="外检","#","")</f>
        <v/>
      </c>
      <c r="B54" s="2" t="str">
        <f>IF(ISBLANK(数据源!B79),"",数据源!B79)</f>
        <v/>
      </c>
      <c r="C54" s="2" t="str">
        <f>IF(ISBLANK(数据源!C79),"",IF(数据源!C79="/",数据源!F79,数据源!C79))</f>
        <v/>
      </c>
      <c r="D54" s="2" t="str">
        <f>IF(LEN(数据源!P79)=0,IF(LEN(数据源!D79)=0,"",数据源!D79),数据源!P79)</f>
        <v/>
      </c>
      <c r="E54" s="2"/>
      <c r="F54" s="2" t="str">
        <f>IF(ISBLANK(数据源!E79),"",数据源!E79)</f>
        <v/>
      </c>
      <c r="G54" s="2" t="str">
        <f>IF(ISBLANK(数据源!G79),"",IF(数据源!G79="A","合格","不合格"))</f>
        <v/>
      </c>
      <c r="H54" s="2" t="str">
        <f>IF(ISBLANK(数据源!H79),"",数据源!H79)</f>
        <v/>
      </c>
      <c r="I54" s="2" t="str">
        <f>IF(ISBLANK(数据源!J79),"",数据源!J79)</f>
        <v/>
      </c>
      <c r="J54" s="2" t="str">
        <f>IF(ISBLANK(数据源!L79),"",数据源!L79)</f>
        <v/>
      </c>
      <c r="K54" s="1" t="str">
        <f>IF(数据源!AD79="外检","#","")</f>
        <v/>
      </c>
      <c r="L54" s="2" t="str">
        <f>IF(ISBLANK(数据源!U79),"",数据源!U79)</f>
        <v/>
      </c>
      <c r="M54" s="2" t="str">
        <f>IF(ISBLANK(数据源!V79),"",IF(数据源!V79="/",数据源!Y79,数据源!V79))</f>
        <v/>
      </c>
      <c r="N54" s="2" t="str">
        <f>IF(LEN(数据源!AI79)=0,IF(LEN(数据源!W79)=0,"",数据源!W79),数据源!AI79)</f>
        <v/>
      </c>
      <c r="O54" s="1"/>
      <c r="P54" s="2" t="str">
        <f>IF(ISBLANK(数据源!X79),"",数据源!X79)</f>
        <v/>
      </c>
      <c r="Q54" s="2" t="str">
        <f>IF(ISBLANK(数据源!Z79),"",IF(数据源!Z79="A","合格","不合格"))</f>
        <v/>
      </c>
      <c r="R54" s="2" t="str">
        <f>IF(ISBLANK(数据源!AA79),"",数据源!AA79)</f>
        <v/>
      </c>
      <c r="S54" s="2" t="str">
        <f>IF(ISBLANK(数据源!AC79),"",数据源!AC79)</f>
        <v/>
      </c>
      <c r="T54" s="2" t="str">
        <f>IF(ISBLANK(数据源!AE79),"",数据源!AE79)</f>
        <v/>
      </c>
      <c r="AW54" s="1" t="str">
        <f>IF(数据源!K79="外检","#","")</f>
        <v/>
      </c>
      <c r="AX54" s="2" t="str">
        <f>IF(ISBLANK(数据源!Q79),"",数据源!Q79)</f>
        <v/>
      </c>
      <c r="AY54" s="2" t="str">
        <f>IF(ISBLANK(数据源!R79),"",数据源!R79)</f>
        <v/>
      </c>
      <c r="AZ54" s="2" t="str">
        <f>IF(LEN(数据源!P79)=0,IF(LEN(数据源!D79)=0,"",数据源!D79),数据源!P79)</f>
        <v/>
      </c>
      <c r="BA54" s="2"/>
      <c r="BB54" s="2" t="str">
        <f>IF(ISBLANK(数据源!E79),"",数据源!E79)</f>
        <v/>
      </c>
      <c r="BC54" s="2" t="str">
        <f>IF(ISBLANK(数据源!G79),"",IF(数据源!G79="A","Qualified","Unqualified"))</f>
        <v/>
      </c>
      <c r="BD54" s="2" t="str">
        <f>IF(ISBLANK(数据源!S79),"",数据源!S79)</f>
        <v/>
      </c>
      <c r="BE54" s="2" t="str">
        <f>IF(ISBLANK(数据源!J79),"",数据源!J79)</f>
        <v/>
      </c>
      <c r="BF54" s="2" t="str">
        <f>IF(ISBLANK(数据源!L79),"",数据源!L79)</f>
        <v/>
      </c>
      <c r="BG54" s="1" t="str">
        <f>IF(数据源!AD79="外检","#","")</f>
        <v/>
      </c>
      <c r="BH54" s="2" t="str">
        <f>IF(ISBLANK(数据源!AJ79),"",数据源!AJ79)</f>
        <v/>
      </c>
      <c r="BI54" s="2" t="str">
        <f>IF(ISBLANK(数据源!AK79),"",数据源!AK79)</f>
        <v/>
      </c>
      <c r="BJ54" s="2" t="str">
        <f>IF(LEN(数据源!AI79)=0,IF(LEN(数据源!W79)=0,"",数据源!W79),数据源!AI79)</f>
        <v/>
      </c>
      <c r="BK54" s="1"/>
      <c r="BL54" s="2" t="str">
        <f>IF(ISBLANK(数据源!X79),"",数据源!X79)</f>
        <v/>
      </c>
      <c r="BM54" s="2" t="str">
        <f>IF(ISBLANK(数据源!Z79),"",IF(数据源!Z79="A","Qualified","Unqualified"))</f>
        <v/>
      </c>
      <c r="BN54" s="2" t="str">
        <f>IF(ISBLANK(数据源!AL79),"",数据源!AL79)</f>
        <v/>
      </c>
      <c r="BO54" s="2" t="str">
        <f>IF(ISBLANK(数据源!AC79),"",数据源!AC79)</f>
        <v/>
      </c>
      <c r="BP54" s="2" t="str">
        <f>IF(ISBLANK(数据源!AE79),"",数据源!AE79)</f>
        <v/>
      </c>
      <c r="CP54" s="86" t="str">
        <f>IF(ISBLANK(数据源!AW79),"",数据源!AW79)</f>
        <v/>
      </c>
      <c r="CQ54" s="86"/>
      <c r="CR54" s="86" t="str">
        <f>IF(ISBLANK(数据源!AX79),"",数据源!AX79)</f>
        <v/>
      </c>
      <c r="CS54" s="86" t="str">
        <f>IF(ISBLANK(数据源!AV79),"",数据源!AV79)</f>
        <v/>
      </c>
      <c r="CT54" s="86"/>
      <c r="CU54" s="87" t="s">
        <v>168</v>
      </c>
      <c r="CV54" s="86"/>
      <c r="CW54" s="86" t="str">
        <f>IF(ISBLANK(数据源!AU79),"",数据源!AU79)</f>
        <v/>
      </c>
      <c r="DA54" s="97">
        <f>IF(数据源!L79&lt;&gt;"QA",0,数据源!O79)</f>
        <v>0</v>
      </c>
      <c r="DB54" s="97">
        <f>数据源!M79</f>
        <v>0</v>
      </c>
      <c r="DC54" s="97">
        <f>数据源!N79</f>
        <v>0</v>
      </c>
      <c r="DD54" s="97">
        <f>IF(数据源!L79&lt;&gt;"QC",0,数据源!O79)</f>
        <v>0</v>
      </c>
    </row>
    <row r="55" spans="1:108">
      <c r="A55" s="1" t="str">
        <f>IF(数据源!K80="外检","#","")</f>
        <v/>
      </c>
      <c r="B55" s="2" t="str">
        <f>IF(ISBLANK(数据源!B80),"",数据源!B80)</f>
        <v/>
      </c>
      <c r="C55" s="2" t="str">
        <f>IF(ISBLANK(数据源!C80),"",IF(数据源!C80="/",数据源!F80,数据源!C80))</f>
        <v/>
      </c>
      <c r="D55" s="2" t="str">
        <f>IF(LEN(数据源!P80)=0,IF(LEN(数据源!D80)=0,"",数据源!D80),数据源!P80)</f>
        <v/>
      </c>
      <c r="E55" s="2"/>
      <c r="F55" s="2" t="str">
        <f>IF(ISBLANK(数据源!E80),"",数据源!E80)</f>
        <v/>
      </c>
      <c r="G55" s="2" t="str">
        <f>IF(ISBLANK(数据源!G80),"",IF(数据源!G80="A","合格","不合格"))</f>
        <v/>
      </c>
      <c r="H55" s="2" t="str">
        <f>IF(ISBLANK(数据源!H80),"",数据源!H80)</f>
        <v/>
      </c>
      <c r="I55" s="2" t="str">
        <f>IF(ISBLANK(数据源!J80),"",数据源!J80)</f>
        <v/>
      </c>
      <c r="J55" s="2" t="str">
        <f>IF(ISBLANK(数据源!L80),"",数据源!L80)</f>
        <v/>
      </c>
      <c r="K55" s="1" t="str">
        <f>IF(数据源!AD80="外检","#","")</f>
        <v/>
      </c>
      <c r="L55" s="2" t="str">
        <f>IF(ISBLANK(数据源!U80),"",数据源!U80)</f>
        <v/>
      </c>
      <c r="M55" s="2" t="str">
        <f>IF(ISBLANK(数据源!V80),"",IF(数据源!V80="/",数据源!Y80,数据源!V80))</f>
        <v/>
      </c>
      <c r="N55" s="2" t="str">
        <f>IF(LEN(数据源!AI80)=0,IF(LEN(数据源!W80)=0,"",数据源!W80),数据源!AI80)</f>
        <v/>
      </c>
      <c r="O55" s="1"/>
      <c r="P55" s="2" t="str">
        <f>IF(ISBLANK(数据源!X80),"",数据源!X80)</f>
        <v/>
      </c>
      <c r="Q55" s="2" t="str">
        <f>IF(ISBLANK(数据源!Z80),"",IF(数据源!Z80="A","合格","不合格"))</f>
        <v/>
      </c>
      <c r="R55" s="2" t="str">
        <f>IF(ISBLANK(数据源!AA80),"",数据源!AA80)</f>
        <v/>
      </c>
      <c r="S55" s="2" t="str">
        <f>IF(ISBLANK(数据源!AC80),"",数据源!AC80)</f>
        <v/>
      </c>
      <c r="T55" s="2" t="str">
        <f>IF(ISBLANK(数据源!AE80),"",数据源!AE80)</f>
        <v/>
      </c>
      <c r="AW55" s="1" t="str">
        <f>IF(数据源!K80="外检","#","")</f>
        <v/>
      </c>
      <c r="AX55" s="2" t="str">
        <f>IF(ISBLANK(数据源!Q80),"",数据源!Q80)</f>
        <v/>
      </c>
      <c r="AY55" s="2" t="str">
        <f>IF(ISBLANK(数据源!R80),"",数据源!R80)</f>
        <v/>
      </c>
      <c r="AZ55" s="2" t="str">
        <f>IF(LEN(数据源!P80)=0,IF(LEN(数据源!D80)=0,"",数据源!D80),数据源!P80)</f>
        <v/>
      </c>
      <c r="BA55" s="2"/>
      <c r="BB55" s="2" t="str">
        <f>IF(ISBLANK(数据源!E80),"",数据源!E80)</f>
        <v/>
      </c>
      <c r="BC55" s="2" t="str">
        <f>IF(ISBLANK(数据源!G80),"",IF(数据源!G80="A","Qualified","Unqualified"))</f>
        <v/>
      </c>
      <c r="BD55" s="2" t="str">
        <f>IF(ISBLANK(数据源!S80),"",数据源!S80)</f>
        <v/>
      </c>
      <c r="BE55" s="2" t="str">
        <f>IF(ISBLANK(数据源!J80),"",数据源!J80)</f>
        <v/>
      </c>
      <c r="BF55" s="2" t="str">
        <f>IF(ISBLANK(数据源!L80),"",数据源!L80)</f>
        <v/>
      </c>
      <c r="BG55" s="1" t="str">
        <f>IF(数据源!AD80="外检","#","")</f>
        <v/>
      </c>
      <c r="BH55" s="2" t="str">
        <f>IF(ISBLANK(数据源!AJ80),"",数据源!AJ80)</f>
        <v/>
      </c>
      <c r="BI55" s="2" t="str">
        <f>IF(ISBLANK(数据源!AK80),"",数据源!AK80)</f>
        <v/>
      </c>
      <c r="BJ55" s="2" t="str">
        <f>IF(LEN(数据源!AI80)=0,IF(LEN(数据源!W80)=0,"",数据源!W80),数据源!AI80)</f>
        <v/>
      </c>
      <c r="BK55" s="1"/>
      <c r="BL55" s="2" t="str">
        <f>IF(ISBLANK(数据源!X80),"",数据源!X80)</f>
        <v/>
      </c>
      <c r="BM55" s="2" t="str">
        <f>IF(ISBLANK(数据源!Z80),"",IF(数据源!Z80="A","Qualified","Unqualified"))</f>
        <v/>
      </c>
      <c r="BN55" s="2" t="str">
        <f>IF(ISBLANK(数据源!AL80),"",数据源!AL80)</f>
        <v/>
      </c>
      <c r="BO55" s="2" t="str">
        <f>IF(ISBLANK(数据源!AC80),"",数据源!AC80)</f>
        <v/>
      </c>
      <c r="BP55" s="2" t="str">
        <f>IF(ISBLANK(数据源!AE80),"",数据源!AE80)</f>
        <v/>
      </c>
      <c r="CP55" s="86" t="str">
        <f>IF(ISBLANK(数据源!AW80),"",数据源!AW80)</f>
        <v/>
      </c>
      <c r="CQ55" s="86"/>
      <c r="CR55" s="86" t="str">
        <f>IF(ISBLANK(数据源!AX80),"",数据源!AX80)</f>
        <v/>
      </c>
      <c r="CS55" s="86" t="str">
        <f>IF(ISBLANK(数据源!AV80),"",数据源!AV80)</f>
        <v/>
      </c>
      <c r="CT55" s="86"/>
      <c r="CU55" s="87" t="s">
        <v>168</v>
      </c>
      <c r="CV55" s="86"/>
      <c r="CW55" s="86" t="str">
        <f>IF(ISBLANK(数据源!AU80),"",数据源!AU80)</f>
        <v/>
      </c>
      <c r="DA55" s="97">
        <f>IF(数据源!L80&lt;&gt;"QA",0,数据源!O80)</f>
        <v>0</v>
      </c>
      <c r="DB55" s="97">
        <f>数据源!M80</f>
        <v>0</v>
      </c>
      <c r="DC55" s="97">
        <f>数据源!N80</f>
        <v>0</v>
      </c>
      <c r="DD55" s="97">
        <f>IF(数据源!L80&lt;&gt;"QC",0,数据源!O80)</f>
        <v>0</v>
      </c>
    </row>
    <row r="56" spans="1:108">
      <c r="A56" s="1" t="str">
        <f>IF(数据源!K81="外检","#","")</f>
        <v/>
      </c>
      <c r="B56" s="2" t="str">
        <f>IF(ISBLANK(数据源!B81),"",数据源!B81)</f>
        <v/>
      </c>
      <c r="C56" s="2" t="str">
        <f>IF(ISBLANK(数据源!C81),"",IF(数据源!C81="/",数据源!F81,数据源!C81))</f>
        <v/>
      </c>
      <c r="D56" s="2" t="str">
        <f>IF(LEN(数据源!P81)=0,IF(LEN(数据源!D81)=0,"",数据源!D81),数据源!P81)</f>
        <v/>
      </c>
      <c r="E56" s="2"/>
      <c r="F56" s="2" t="str">
        <f>IF(ISBLANK(数据源!E81),"",数据源!E81)</f>
        <v/>
      </c>
      <c r="G56" s="2" t="str">
        <f>IF(ISBLANK(数据源!G81),"",IF(数据源!G81="A","合格","不合格"))</f>
        <v/>
      </c>
      <c r="H56" s="2" t="str">
        <f>IF(ISBLANK(数据源!H81),"",数据源!H81)</f>
        <v/>
      </c>
      <c r="I56" s="2" t="str">
        <f>IF(ISBLANK(数据源!J81),"",数据源!J81)</f>
        <v/>
      </c>
      <c r="J56" s="2" t="str">
        <f>IF(ISBLANK(数据源!L81),"",数据源!L81)</f>
        <v/>
      </c>
      <c r="K56" s="1" t="str">
        <f>IF(数据源!AD81="外检","#","")</f>
        <v/>
      </c>
      <c r="L56" s="2" t="str">
        <f>IF(ISBLANK(数据源!U81),"",数据源!U81)</f>
        <v/>
      </c>
      <c r="M56" s="2" t="str">
        <f>IF(ISBLANK(数据源!V81),"",IF(数据源!V81="/",数据源!Y81,数据源!V81))</f>
        <v/>
      </c>
      <c r="N56" s="2" t="str">
        <f>IF(LEN(数据源!AI81)=0,IF(LEN(数据源!W81)=0,"",数据源!W81),数据源!AI81)</f>
        <v/>
      </c>
      <c r="O56" s="1"/>
      <c r="P56" s="2" t="str">
        <f>IF(ISBLANK(数据源!X81),"",数据源!X81)</f>
        <v/>
      </c>
      <c r="Q56" s="2" t="str">
        <f>IF(ISBLANK(数据源!Z81),"",IF(数据源!Z81="A","合格","不合格"))</f>
        <v/>
      </c>
      <c r="R56" s="2" t="str">
        <f>IF(ISBLANK(数据源!AA81),"",数据源!AA81)</f>
        <v/>
      </c>
      <c r="S56" s="2" t="str">
        <f>IF(ISBLANK(数据源!AC81),"",数据源!AC81)</f>
        <v/>
      </c>
      <c r="T56" s="2" t="str">
        <f>IF(ISBLANK(数据源!AE81),"",数据源!AE81)</f>
        <v/>
      </c>
      <c r="AW56" s="1" t="str">
        <f>IF(数据源!K81="外检","#","")</f>
        <v/>
      </c>
      <c r="AX56" s="2" t="str">
        <f>IF(ISBLANK(数据源!Q81),"",数据源!Q81)</f>
        <v/>
      </c>
      <c r="AY56" s="2" t="str">
        <f>IF(ISBLANK(数据源!R81),"",数据源!R81)</f>
        <v/>
      </c>
      <c r="AZ56" s="2" t="str">
        <f>IF(LEN(数据源!P81)=0,IF(LEN(数据源!D81)=0,"",数据源!D81),数据源!P81)</f>
        <v/>
      </c>
      <c r="BA56" s="2"/>
      <c r="BB56" s="2" t="str">
        <f>IF(ISBLANK(数据源!E81),"",数据源!E81)</f>
        <v/>
      </c>
      <c r="BC56" s="2" t="str">
        <f>IF(ISBLANK(数据源!G81),"",IF(数据源!G81="A","Qualified","Unqualified"))</f>
        <v/>
      </c>
      <c r="BD56" s="2" t="str">
        <f>IF(ISBLANK(数据源!S81),"",数据源!S81)</f>
        <v/>
      </c>
      <c r="BE56" s="2" t="str">
        <f>IF(ISBLANK(数据源!J81),"",数据源!J81)</f>
        <v/>
      </c>
      <c r="BF56" s="2" t="str">
        <f>IF(ISBLANK(数据源!L81),"",数据源!L81)</f>
        <v/>
      </c>
      <c r="BG56" s="1" t="str">
        <f>IF(数据源!AD81="外检","#","")</f>
        <v/>
      </c>
      <c r="BH56" s="2" t="str">
        <f>IF(ISBLANK(数据源!AJ81),"",数据源!AJ81)</f>
        <v/>
      </c>
      <c r="BI56" s="2" t="str">
        <f>IF(ISBLANK(数据源!AK81),"",数据源!AK81)</f>
        <v/>
      </c>
      <c r="BJ56" s="2" t="str">
        <f>IF(LEN(数据源!AI81)=0,IF(LEN(数据源!W81)=0,"",数据源!W81),数据源!AI81)</f>
        <v/>
      </c>
      <c r="BK56" s="1"/>
      <c r="BL56" s="2" t="str">
        <f>IF(ISBLANK(数据源!X81),"",数据源!X81)</f>
        <v/>
      </c>
      <c r="BM56" s="2" t="str">
        <f>IF(ISBLANK(数据源!Z81),"",IF(数据源!Z81="A","Qualified","Unqualified"))</f>
        <v/>
      </c>
      <c r="BN56" s="2" t="str">
        <f>IF(ISBLANK(数据源!AL81),"",数据源!AL81)</f>
        <v/>
      </c>
      <c r="BO56" s="2" t="str">
        <f>IF(ISBLANK(数据源!AC81),"",数据源!AC81)</f>
        <v/>
      </c>
      <c r="BP56" s="2" t="str">
        <f>IF(ISBLANK(数据源!AE81),"",数据源!AE81)</f>
        <v/>
      </c>
      <c r="CP56" s="86" t="str">
        <f>IF(ISBLANK(数据源!AW81),"",数据源!AW81)</f>
        <v/>
      </c>
      <c r="CQ56" s="86"/>
      <c r="CR56" s="86" t="str">
        <f>IF(ISBLANK(数据源!AX81),"",数据源!AX81)</f>
        <v/>
      </c>
      <c r="CS56" s="86" t="str">
        <f>IF(ISBLANK(数据源!AV81),"",数据源!AV81)</f>
        <v/>
      </c>
      <c r="CT56" s="86"/>
      <c r="CU56" s="87" t="s">
        <v>168</v>
      </c>
      <c r="CV56" s="86"/>
      <c r="CW56" s="86" t="str">
        <f>IF(ISBLANK(数据源!AU81),"",数据源!AU81)</f>
        <v/>
      </c>
      <c r="DA56" s="97">
        <f>IF(数据源!L81&lt;&gt;"QA",0,数据源!O81)</f>
        <v>0</v>
      </c>
      <c r="DB56" s="97">
        <f>数据源!M81</f>
        <v>0</v>
      </c>
      <c r="DC56" s="97">
        <f>数据源!N81</f>
        <v>0</v>
      </c>
      <c r="DD56" s="97">
        <f>IF(数据源!L81&lt;&gt;"QC",0,数据源!O81)</f>
        <v>0</v>
      </c>
    </row>
    <row r="57" spans="1:108">
      <c r="A57" s="1" t="str">
        <f>IF(数据源!K82="外检","#","")</f>
        <v/>
      </c>
      <c r="B57" s="2" t="str">
        <f>IF(ISBLANK(数据源!B82),"",数据源!B82)</f>
        <v/>
      </c>
      <c r="C57" s="2" t="str">
        <f>IF(ISBLANK(数据源!C82),"",IF(数据源!C82="/",数据源!F82,数据源!C82))</f>
        <v/>
      </c>
      <c r="D57" s="2" t="str">
        <f>IF(LEN(数据源!P82)=0,IF(LEN(数据源!D82)=0,"",数据源!D82),数据源!P82)</f>
        <v/>
      </c>
      <c r="E57" s="2"/>
      <c r="F57" s="2" t="str">
        <f>IF(ISBLANK(数据源!E82),"",数据源!E82)</f>
        <v/>
      </c>
      <c r="G57" s="2" t="str">
        <f>IF(ISBLANK(数据源!G82),"",IF(数据源!G82="A","合格","不合格"))</f>
        <v/>
      </c>
      <c r="H57" s="2" t="str">
        <f>IF(ISBLANK(数据源!H82),"",数据源!H82)</f>
        <v/>
      </c>
      <c r="I57" s="2" t="str">
        <f>IF(ISBLANK(数据源!J82),"",数据源!J82)</f>
        <v/>
      </c>
      <c r="J57" s="2" t="str">
        <f>IF(ISBLANK(数据源!L82),"",数据源!L82)</f>
        <v/>
      </c>
      <c r="K57" s="1" t="str">
        <f>IF(数据源!AD82="外检","#","")</f>
        <v/>
      </c>
      <c r="L57" s="2" t="str">
        <f>IF(ISBLANK(数据源!U82),"",数据源!U82)</f>
        <v/>
      </c>
      <c r="M57" s="2" t="str">
        <f>IF(ISBLANK(数据源!V82),"",IF(数据源!V82="/",数据源!Y82,数据源!V82))</f>
        <v/>
      </c>
      <c r="N57" s="2" t="str">
        <f>IF(LEN(数据源!AI82)=0,IF(LEN(数据源!W82)=0,"",数据源!W82),数据源!AI82)</f>
        <v/>
      </c>
      <c r="O57" s="1"/>
      <c r="P57" s="2" t="str">
        <f>IF(ISBLANK(数据源!X82),"",数据源!X82)</f>
        <v/>
      </c>
      <c r="Q57" s="2" t="str">
        <f>IF(ISBLANK(数据源!Z82),"",IF(数据源!Z82="A","合格","不合格"))</f>
        <v/>
      </c>
      <c r="R57" s="2" t="str">
        <f>IF(ISBLANK(数据源!AA82),"",数据源!AA82)</f>
        <v/>
      </c>
      <c r="S57" s="2" t="str">
        <f>IF(ISBLANK(数据源!AC82),"",数据源!AC82)</f>
        <v/>
      </c>
      <c r="T57" s="2" t="str">
        <f>IF(ISBLANK(数据源!AE82),"",数据源!AE82)</f>
        <v/>
      </c>
      <c r="AW57" s="1" t="str">
        <f>IF(数据源!K82="外检","#","")</f>
        <v/>
      </c>
      <c r="AX57" s="2" t="str">
        <f>IF(ISBLANK(数据源!Q82),"",数据源!Q82)</f>
        <v/>
      </c>
      <c r="AY57" s="2" t="str">
        <f>IF(ISBLANK(数据源!R82),"",数据源!R82)</f>
        <v/>
      </c>
      <c r="AZ57" s="2" t="str">
        <f>IF(LEN(数据源!P82)=0,IF(LEN(数据源!D82)=0,"",数据源!D82),数据源!P82)</f>
        <v/>
      </c>
      <c r="BA57" s="2"/>
      <c r="BB57" s="2" t="str">
        <f>IF(ISBLANK(数据源!E82),"",数据源!E82)</f>
        <v/>
      </c>
      <c r="BC57" s="2" t="str">
        <f>IF(ISBLANK(数据源!G82),"",IF(数据源!G82="A","Qualified","Unqualified"))</f>
        <v/>
      </c>
      <c r="BD57" s="2" t="str">
        <f>IF(ISBLANK(数据源!S82),"",数据源!S82)</f>
        <v/>
      </c>
      <c r="BE57" s="2" t="str">
        <f>IF(ISBLANK(数据源!J82),"",数据源!J82)</f>
        <v/>
      </c>
      <c r="BF57" s="2" t="str">
        <f>IF(ISBLANK(数据源!L82),"",数据源!L82)</f>
        <v/>
      </c>
      <c r="BG57" s="1" t="str">
        <f>IF(数据源!AD82="外检","#","")</f>
        <v/>
      </c>
      <c r="BH57" s="2" t="str">
        <f>IF(ISBLANK(数据源!AJ82),"",数据源!AJ82)</f>
        <v/>
      </c>
      <c r="BI57" s="2" t="str">
        <f>IF(ISBLANK(数据源!AK82),"",数据源!AK82)</f>
        <v/>
      </c>
      <c r="BJ57" s="2" t="str">
        <f>IF(LEN(数据源!AI82)=0,IF(LEN(数据源!W82)=0,"",数据源!W82),数据源!AI82)</f>
        <v/>
      </c>
      <c r="BK57" s="1"/>
      <c r="BL57" s="2" t="str">
        <f>IF(ISBLANK(数据源!X82),"",数据源!X82)</f>
        <v/>
      </c>
      <c r="BM57" s="2" t="str">
        <f>IF(ISBLANK(数据源!Z82),"",IF(数据源!Z82="A","Qualified","Unqualified"))</f>
        <v/>
      </c>
      <c r="BN57" s="2" t="str">
        <f>IF(ISBLANK(数据源!AL82),"",数据源!AL82)</f>
        <v/>
      </c>
      <c r="BO57" s="2" t="str">
        <f>IF(ISBLANK(数据源!AC82),"",数据源!AC82)</f>
        <v/>
      </c>
      <c r="BP57" s="2" t="str">
        <f>IF(ISBLANK(数据源!AE82),"",数据源!AE82)</f>
        <v/>
      </c>
      <c r="CP57" s="86" t="str">
        <f>IF(ISBLANK(数据源!AW82),"",数据源!AW82)</f>
        <v/>
      </c>
      <c r="CQ57" s="86"/>
      <c r="CR57" s="86" t="str">
        <f>IF(ISBLANK(数据源!AX82),"",数据源!AX82)</f>
        <v/>
      </c>
      <c r="CS57" s="86" t="str">
        <f>IF(ISBLANK(数据源!AV82),"",数据源!AV82)</f>
        <v/>
      </c>
      <c r="CT57" s="86"/>
      <c r="CU57" s="87" t="s">
        <v>168</v>
      </c>
      <c r="CV57" s="86"/>
      <c r="CW57" s="86" t="str">
        <f>IF(ISBLANK(数据源!AU82),"",数据源!AU82)</f>
        <v/>
      </c>
      <c r="DA57" s="97">
        <f>IF(数据源!L82&lt;&gt;"QA",0,数据源!O82)</f>
        <v>0</v>
      </c>
      <c r="DB57" s="97">
        <f>数据源!M82</f>
        <v>0</v>
      </c>
      <c r="DC57" s="97">
        <f>数据源!N82</f>
        <v>0</v>
      </c>
      <c r="DD57" s="97">
        <f>IF(数据源!L82&lt;&gt;"QC",0,数据源!O82)</f>
        <v>0</v>
      </c>
    </row>
    <row r="58" spans="1:108">
      <c r="A58" s="1" t="str">
        <f>IF(数据源!K83="外检","#","")</f>
        <v/>
      </c>
      <c r="B58" s="2" t="str">
        <f>IF(ISBLANK(数据源!B83),"",数据源!B83)</f>
        <v/>
      </c>
      <c r="C58" s="2" t="str">
        <f>IF(ISBLANK(数据源!C83),"",IF(数据源!C83="/",数据源!F83,数据源!C83))</f>
        <v/>
      </c>
      <c r="D58" s="2" t="str">
        <f>IF(LEN(数据源!P83)=0,IF(LEN(数据源!D83)=0,"",数据源!D83),数据源!P83)</f>
        <v/>
      </c>
      <c r="E58" s="2"/>
      <c r="F58" s="2" t="str">
        <f>IF(ISBLANK(数据源!E83),"",数据源!E83)</f>
        <v/>
      </c>
      <c r="G58" s="2" t="str">
        <f>IF(ISBLANK(数据源!G83),"",IF(数据源!G83="A","合格","不合格"))</f>
        <v/>
      </c>
      <c r="H58" s="2" t="str">
        <f>IF(ISBLANK(数据源!H83),"",数据源!H83)</f>
        <v/>
      </c>
      <c r="I58" s="2" t="str">
        <f>IF(ISBLANK(数据源!J83),"",数据源!J83)</f>
        <v/>
      </c>
      <c r="J58" s="2" t="str">
        <f>IF(ISBLANK(数据源!L83),"",数据源!L83)</f>
        <v/>
      </c>
      <c r="K58" s="1" t="str">
        <f>IF(数据源!AD83="外检","#","")</f>
        <v/>
      </c>
      <c r="L58" s="2" t="str">
        <f>IF(ISBLANK(数据源!U83),"",数据源!U83)</f>
        <v/>
      </c>
      <c r="M58" s="2" t="str">
        <f>IF(ISBLANK(数据源!V83),"",IF(数据源!V83="/",数据源!Y83,数据源!V83))</f>
        <v/>
      </c>
      <c r="N58" s="2" t="str">
        <f>IF(LEN(数据源!AI83)=0,IF(LEN(数据源!W83)=0,"",数据源!W83),数据源!AI83)</f>
        <v/>
      </c>
      <c r="O58" s="1"/>
      <c r="P58" s="2" t="str">
        <f>IF(ISBLANK(数据源!X83),"",数据源!X83)</f>
        <v/>
      </c>
      <c r="Q58" s="2" t="str">
        <f>IF(ISBLANK(数据源!Z83),"",IF(数据源!Z83="A","合格","不合格"))</f>
        <v/>
      </c>
      <c r="R58" s="2" t="str">
        <f>IF(ISBLANK(数据源!AA83),"",数据源!AA83)</f>
        <v/>
      </c>
      <c r="S58" s="2" t="str">
        <f>IF(ISBLANK(数据源!AC83),"",数据源!AC83)</f>
        <v/>
      </c>
      <c r="T58" s="2" t="str">
        <f>IF(ISBLANK(数据源!AE83),"",数据源!AE83)</f>
        <v/>
      </c>
      <c r="AW58" s="1" t="str">
        <f>IF(数据源!K83="外检","#","")</f>
        <v/>
      </c>
      <c r="AX58" s="2" t="str">
        <f>IF(ISBLANK(数据源!Q83),"",数据源!Q83)</f>
        <v/>
      </c>
      <c r="AY58" s="2" t="str">
        <f>IF(ISBLANK(数据源!R83),"",数据源!R83)</f>
        <v/>
      </c>
      <c r="AZ58" s="2" t="str">
        <f>IF(LEN(数据源!P83)=0,IF(LEN(数据源!D83)=0,"",数据源!D83),数据源!P83)</f>
        <v/>
      </c>
      <c r="BA58" s="2"/>
      <c r="BB58" s="2" t="str">
        <f>IF(ISBLANK(数据源!E83),"",数据源!E83)</f>
        <v/>
      </c>
      <c r="BC58" s="2" t="str">
        <f>IF(ISBLANK(数据源!G83),"",IF(数据源!G83="A","Qualified","Unqualified"))</f>
        <v/>
      </c>
      <c r="BD58" s="2" t="str">
        <f>IF(ISBLANK(数据源!S83),"",数据源!S83)</f>
        <v/>
      </c>
      <c r="BE58" s="2" t="str">
        <f>IF(ISBLANK(数据源!J83),"",数据源!J83)</f>
        <v/>
      </c>
      <c r="BF58" s="2" t="str">
        <f>IF(ISBLANK(数据源!L83),"",数据源!L83)</f>
        <v/>
      </c>
      <c r="BG58" s="1" t="str">
        <f>IF(数据源!AD83="外检","#","")</f>
        <v/>
      </c>
      <c r="BH58" s="2" t="str">
        <f>IF(ISBLANK(数据源!AJ83),"",数据源!AJ83)</f>
        <v/>
      </c>
      <c r="BI58" s="2" t="str">
        <f>IF(ISBLANK(数据源!AK83),"",数据源!AK83)</f>
        <v/>
      </c>
      <c r="BJ58" s="2" t="str">
        <f>IF(LEN(数据源!AI83)=0,IF(LEN(数据源!W83)=0,"",数据源!W83),数据源!AI83)</f>
        <v/>
      </c>
      <c r="BK58" s="1"/>
      <c r="BL58" s="2" t="str">
        <f>IF(ISBLANK(数据源!X83),"",数据源!X83)</f>
        <v/>
      </c>
      <c r="BM58" s="2" t="str">
        <f>IF(ISBLANK(数据源!Z83),"",IF(数据源!Z83="A","Qualified","Unqualified"))</f>
        <v/>
      </c>
      <c r="BN58" s="2" t="str">
        <f>IF(ISBLANK(数据源!AL83),"",数据源!AL83)</f>
        <v/>
      </c>
      <c r="BO58" s="2" t="str">
        <f>IF(ISBLANK(数据源!AC83),"",数据源!AC83)</f>
        <v/>
      </c>
      <c r="BP58" s="2" t="str">
        <f>IF(ISBLANK(数据源!AE83),"",数据源!AE83)</f>
        <v/>
      </c>
      <c r="CP58" s="86" t="str">
        <f>IF(ISBLANK(数据源!AW83),"",数据源!AW83)</f>
        <v/>
      </c>
      <c r="CQ58" s="86"/>
      <c r="CR58" s="86" t="str">
        <f>IF(ISBLANK(数据源!AX83),"",数据源!AX83)</f>
        <v/>
      </c>
      <c r="CS58" s="86" t="str">
        <f>IF(ISBLANK(数据源!AV83),"",数据源!AV83)</f>
        <v/>
      </c>
      <c r="CT58" s="86"/>
      <c r="CU58" s="87" t="s">
        <v>168</v>
      </c>
      <c r="CV58" s="86"/>
      <c r="CW58" s="86" t="str">
        <f>IF(ISBLANK(数据源!AU83),"",数据源!AU83)</f>
        <v/>
      </c>
      <c r="DA58" s="97">
        <f>IF(数据源!L83&lt;&gt;"QA",0,数据源!O83)</f>
        <v>0</v>
      </c>
      <c r="DB58" s="97">
        <f>数据源!M83</f>
        <v>0</v>
      </c>
      <c r="DC58" s="97">
        <f>数据源!N83</f>
        <v>0</v>
      </c>
      <c r="DD58" s="97">
        <f>IF(数据源!L83&lt;&gt;"QC",0,数据源!O83)</f>
        <v>0</v>
      </c>
    </row>
    <row r="59" spans="1:108">
      <c r="A59" s="1" t="str">
        <f>IF(数据源!K84="外检","#","")</f>
        <v/>
      </c>
      <c r="B59" s="2" t="str">
        <f>IF(ISBLANK(数据源!B84),"",数据源!B84)</f>
        <v/>
      </c>
      <c r="C59" s="2" t="str">
        <f>IF(ISBLANK(数据源!C84),"",IF(数据源!C84="/",数据源!F84,数据源!C84))</f>
        <v/>
      </c>
      <c r="D59" s="2" t="str">
        <f>IF(LEN(数据源!P84)=0,IF(LEN(数据源!D84)=0,"",数据源!D84),数据源!P84)</f>
        <v/>
      </c>
      <c r="E59" s="2"/>
      <c r="F59" s="2" t="str">
        <f>IF(ISBLANK(数据源!E84),"",数据源!E84)</f>
        <v/>
      </c>
      <c r="G59" s="2" t="str">
        <f>IF(ISBLANK(数据源!G84),"",IF(数据源!G84="A","合格","不合格"))</f>
        <v/>
      </c>
      <c r="H59" s="2" t="str">
        <f>IF(ISBLANK(数据源!H84),"",数据源!H84)</f>
        <v/>
      </c>
      <c r="I59" s="2" t="str">
        <f>IF(ISBLANK(数据源!J84),"",数据源!J84)</f>
        <v/>
      </c>
      <c r="J59" s="2" t="str">
        <f>IF(ISBLANK(数据源!L84),"",数据源!L84)</f>
        <v/>
      </c>
      <c r="K59" s="1" t="str">
        <f>IF(数据源!AD84="外检","#","")</f>
        <v/>
      </c>
      <c r="L59" s="2" t="str">
        <f>IF(ISBLANK(数据源!U84),"",数据源!U84)</f>
        <v/>
      </c>
      <c r="M59" s="2" t="str">
        <f>IF(ISBLANK(数据源!V84),"",IF(数据源!V84="/",数据源!Y84,数据源!V84))</f>
        <v/>
      </c>
      <c r="N59" s="2" t="str">
        <f>IF(LEN(数据源!AI84)=0,IF(LEN(数据源!W84)=0,"",数据源!W84),数据源!AI84)</f>
        <v/>
      </c>
      <c r="O59" s="1"/>
      <c r="P59" s="2" t="str">
        <f>IF(ISBLANK(数据源!X84),"",数据源!X84)</f>
        <v/>
      </c>
      <c r="Q59" s="2" t="str">
        <f>IF(ISBLANK(数据源!Z84),"",IF(数据源!Z84="A","合格","不合格"))</f>
        <v/>
      </c>
      <c r="R59" s="2" t="str">
        <f>IF(ISBLANK(数据源!AA84),"",数据源!AA84)</f>
        <v/>
      </c>
      <c r="S59" s="2" t="str">
        <f>IF(ISBLANK(数据源!AC84),"",数据源!AC84)</f>
        <v/>
      </c>
      <c r="T59" s="2" t="str">
        <f>IF(ISBLANK(数据源!AE84),"",数据源!AE84)</f>
        <v/>
      </c>
      <c r="AW59" s="1" t="str">
        <f>IF(数据源!K84="外检","#","")</f>
        <v/>
      </c>
      <c r="AX59" s="2" t="str">
        <f>IF(ISBLANK(数据源!Q84),"",数据源!Q84)</f>
        <v/>
      </c>
      <c r="AY59" s="2" t="str">
        <f>IF(ISBLANK(数据源!R84),"",数据源!R84)</f>
        <v/>
      </c>
      <c r="AZ59" s="2" t="str">
        <f>IF(LEN(数据源!P84)=0,IF(LEN(数据源!D84)=0,"",数据源!D84),数据源!P84)</f>
        <v/>
      </c>
      <c r="BA59" s="2"/>
      <c r="BB59" s="2" t="str">
        <f>IF(ISBLANK(数据源!E84),"",数据源!E84)</f>
        <v/>
      </c>
      <c r="BC59" s="2" t="str">
        <f>IF(ISBLANK(数据源!G84),"",IF(数据源!G84="A","Qualified","Unqualified"))</f>
        <v/>
      </c>
      <c r="BD59" s="2" t="str">
        <f>IF(ISBLANK(数据源!S84),"",数据源!S84)</f>
        <v/>
      </c>
      <c r="BE59" s="2" t="str">
        <f>IF(ISBLANK(数据源!J84),"",数据源!J84)</f>
        <v/>
      </c>
      <c r="BF59" s="2" t="str">
        <f>IF(ISBLANK(数据源!L84),"",数据源!L84)</f>
        <v/>
      </c>
      <c r="BG59" s="1" t="str">
        <f>IF(数据源!AD84="外检","#","")</f>
        <v/>
      </c>
      <c r="BH59" s="2" t="str">
        <f>IF(ISBLANK(数据源!AJ84),"",数据源!AJ84)</f>
        <v/>
      </c>
      <c r="BI59" s="2" t="str">
        <f>IF(ISBLANK(数据源!AK84),"",数据源!AK84)</f>
        <v/>
      </c>
      <c r="BJ59" s="2" t="str">
        <f>IF(LEN(数据源!AI84)=0,IF(LEN(数据源!W84)=0,"",数据源!W84),数据源!AI84)</f>
        <v/>
      </c>
      <c r="BK59" s="1"/>
      <c r="BL59" s="2" t="str">
        <f>IF(ISBLANK(数据源!X84),"",数据源!X84)</f>
        <v/>
      </c>
      <c r="BM59" s="2" t="str">
        <f>IF(ISBLANK(数据源!Z84),"",IF(数据源!Z84="A","Qualified","Unqualified"))</f>
        <v/>
      </c>
      <c r="BN59" s="2" t="str">
        <f>IF(ISBLANK(数据源!AL84),"",数据源!AL84)</f>
        <v/>
      </c>
      <c r="BO59" s="2" t="str">
        <f>IF(ISBLANK(数据源!AC84),"",数据源!AC84)</f>
        <v/>
      </c>
      <c r="BP59" s="2" t="str">
        <f>IF(ISBLANK(数据源!AE84),"",数据源!AE84)</f>
        <v/>
      </c>
      <c r="CP59" s="86" t="str">
        <f>IF(ISBLANK(数据源!AW84),"",数据源!AW84)</f>
        <v/>
      </c>
      <c r="CQ59" s="86"/>
      <c r="CR59" s="86" t="str">
        <f>IF(ISBLANK(数据源!AX84),"",数据源!AX84)</f>
        <v/>
      </c>
      <c r="CS59" s="86" t="str">
        <f>IF(ISBLANK(数据源!AV84),"",数据源!AV84)</f>
        <v/>
      </c>
      <c r="CT59" s="86"/>
      <c r="CU59" s="87" t="s">
        <v>168</v>
      </c>
      <c r="CV59" s="86"/>
      <c r="CW59" s="86" t="str">
        <f>IF(ISBLANK(数据源!AU84),"",数据源!AU84)</f>
        <v/>
      </c>
      <c r="DA59" s="97">
        <f>IF(数据源!L84&lt;&gt;"QA",0,数据源!O84)</f>
        <v>0</v>
      </c>
      <c r="DB59" s="97">
        <f>数据源!M84</f>
        <v>0</v>
      </c>
      <c r="DC59" s="97">
        <f>数据源!N84</f>
        <v>0</v>
      </c>
      <c r="DD59" s="97">
        <f>IF(数据源!L84&lt;&gt;"QC",0,数据源!O84)</f>
        <v>0</v>
      </c>
    </row>
    <row r="60" spans="1:108">
      <c r="A60" s="1" t="str">
        <f>IF(数据源!K85="外检","#","")</f>
        <v/>
      </c>
      <c r="B60" s="2" t="str">
        <f>IF(ISBLANK(数据源!B85),"",数据源!B85)</f>
        <v/>
      </c>
      <c r="C60" s="2" t="str">
        <f>IF(ISBLANK(数据源!C85),"",IF(数据源!C85="/",数据源!F85,数据源!C85))</f>
        <v/>
      </c>
      <c r="D60" s="2" t="str">
        <f>IF(LEN(数据源!P85)=0,IF(LEN(数据源!D85)=0,"",数据源!D85),数据源!P85)</f>
        <v/>
      </c>
      <c r="E60" s="2"/>
      <c r="F60" s="2" t="str">
        <f>IF(ISBLANK(数据源!E85),"",数据源!E85)</f>
        <v/>
      </c>
      <c r="G60" s="2" t="str">
        <f>IF(ISBLANK(数据源!G85),"",IF(数据源!G85="A","合格","不合格"))</f>
        <v/>
      </c>
      <c r="H60" s="2" t="str">
        <f>IF(ISBLANK(数据源!H85),"",数据源!H85)</f>
        <v/>
      </c>
      <c r="I60" s="2" t="str">
        <f>IF(ISBLANK(数据源!J85),"",数据源!J85)</f>
        <v/>
      </c>
      <c r="J60" s="2" t="str">
        <f>IF(ISBLANK(数据源!L85),"",数据源!L85)</f>
        <v/>
      </c>
      <c r="K60" s="1" t="str">
        <f>IF(数据源!AD85="外检","#","")</f>
        <v/>
      </c>
      <c r="L60" s="2" t="str">
        <f>IF(ISBLANK(数据源!U85),"",数据源!U85)</f>
        <v/>
      </c>
      <c r="M60" s="2" t="str">
        <f>IF(ISBLANK(数据源!V85),"",IF(数据源!V85="/",数据源!Y85,数据源!V85))</f>
        <v/>
      </c>
      <c r="N60" s="2" t="str">
        <f>IF(LEN(数据源!AI85)=0,IF(LEN(数据源!W85)=0,"",数据源!W85),数据源!AI85)</f>
        <v/>
      </c>
      <c r="O60" s="1"/>
      <c r="P60" s="2" t="str">
        <f>IF(ISBLANK(数据源!X85),"",数据源!X85)</f>
        <v/>
      </c>
      <c r="Q60" s="2" t="str">
        <f>IF(ISBLANK(数据源!Z85),"",IF(数据源!Z85="A","合格","不合格"))</f>
        <v/>
      </c>
      <c r="R60" s="2" t="str">
        <f>IF(ISBLANK(数据源!AA85),"",数据源!AA85)</f>
        <v/>
      </c>
      <c r="S60" s="2" t="str">
        <f>IF(ISBLANK(数据源!AC85),"",数据源!AC85)</f>
        <v/>
      </c>
      <c r="T60" s="2" t="str">
        <f>IF(ISBLANK(数据源!AE85),"",数据源!AE85)</f>
        <v/>
      </c>
      <c r="AW60" s="1" t="str">
        <f>IF(数据源!K85="外检","#","")</f>
        <v/>
      </c>
      <c r="AX60" s="2" t="str">
        <f>IF(ISBLANK(数据源!Q85),"",数据源!Q85)</f>
        <v/>
      </c>
      <c r="AY60" s="2" t="str">
        <f>IF(ISBLANK(数据源!R85),"",数据源!R85)</f>
        <v/>
      </c>
      <c r="AZ60" s="2" t="str">
        <f>IF(LEN(数据源!P85)=0,IF(LEN(数据源!D85)=0,"",数据源!D85),数据源!P85)</f>
        <v/>
      </c>
      <c r="BA60" s="2"/>
      <c r="BB60" s="2" t="str">
        <f>IF(ISBLANK(数据源!E85),"",数据源!E85)</f>
        <v/>
      </c>
      <c r="BC60" s="2" t="str">
        <f>IF(ISBLANK(数据源!G85),"",IF(数据源!G85="A","Qualified","Unqualified"))</f>
        <v/>
      </c>
      <c r="BD60" s="2" t="str">
        <f>IF(ISBLANK(数据源!S85),"",数据源!S85)</f>
        <v/>
      </c>
      <c r="BE60" s="2" t="str">
        <f>IF(ISBLANK(数据源!J85),"",数据源!J85)</f>
        <v/>
      </c>
      <c r="BF60" s="2" t="str">
        <f>IF(ISBLANK(数据源!L85),"",数据源!L85)</f>
        <v/>
      </c>
      <c r="BG60" s="1" t="str">
        <f>IF(数据源!AD85="外检","#","")</f>
        <v/>
      </c>
      <c r="BH60" s="2" t="str">
        <f>IF(ISBLANK(数据源!AJ85),"",数据源!AJ85)</f>
        <v/>
      </c>
      <c r="BI60" s="2" t="str">
        <f>IF(ISBLANK(数据源!AK85),"",数据源!AK85)</f>
        <v/>
      </c>
      <c r="BJ60" s="2" t="str">
        <f>IF(LEN(数据源!AI85)=0,IF(LEN(数据源!W85)=0,"",数据源!W85),数据源!AI85)</f>
        <v/>
      </c>
      <c r="BK60" s="1"/>
      <c r="BL60" s="2" t="str">
        <f>IF(ISBLANK(数据源!X85),"",数据源!X85)</f>
        <v/>
      </c>
      <c r="BM60" s="2" t="str">
        <f>IF(ISBLANK(数据源!Z85),"",IF(数据源!Z85="A","Qualified","Unqualified"))</f>
        <v/>
      </c>
      <c r="BN60" s="2" t="str">
        <f>IF(ISBLANK(数据源!AL85),"",数据源!AL85)</f>
        <v/>
      </c>
      <c r="BO60" s="2" t="str">
        <f>IF(ISBLANK(数据源!AC85),"",数据源!AC85)</f>
        <v/>
      </c>
      <c r="BP60" s="2" t="str">
        <f>IF(ISBLANK(数据源!AE85),"",数据源!AE85)</f>
        <v/>
      </c>
      <c r="CP60" s="86" t="str">
        <f>IF(ISBLANK(数据源!AW85),"",数据源!AW85)</f>
        <v/>
      </c>
      <c r="CQ60" s="86"/>
      <c r="CR60" s="86" t="str">
        <f>IF(ISBLANK(数据源!AX85),"",数据源!AX85)</f>
        <v/>
      </c>
      <c r="CS60" s="86" t="str">
        <f>IF(ISBLANK(数据源!AV85),"",数据源!AV85)</f>
        <v/>
      </c>
      <c r="CT60" s="86"/>
      <c r="CU60" s="87" t="s">
        <v>168</v>
      </c>
      <c r="CV60" s="86"/>
      <c r="CW60" s="86" t="str">
        <f>IF(ISBLANK(数据源!AU85),"",数据源!AU85)</f>
        <v/>
      </c>
      <c r="DA60" s="97">
        <f>IF(数据源!L85&lt;&gt;"QA",0,数据源!O85)</f>
        <v>0</v>
      </c>
      <c r="DB60" s="97">
        <f>数据源!M85</f>
        <v>0</v>
      </c>
      <c r="DC60" s="97">
        <f>数据源!N85</f>
        <v>0</v>
      </c>
      <c r="DD60" s="97">
        <f>IF(数据源!L85&lt;&gt;"QC",0,数据源!O85)</f>
        <v>0</v>
      </c>
    </row>
    <row r="61" spans="1:108">
      <c r="A61" s="1" t="str">
        <f>IF(数据源!K86="外检","#","")</f>
        <v/>
      </c>
      <c r="B61" s="2" t="str">
        <f>IF(ISBLANK(数据源!B86),"",数据源!B86)</f>
        <v/>
      </c>
      <c r="C61" s="2" t="str">
        <f>IF(ISBLANK(数据源!C86),"",IF(数据源!C86="/",数据源!F86,数据源!C86))</f>
        <v/>
      </c>
      <c r="D61" s="2" t="str">
        <f>IF(LEN(数据源!P86)=0,IF(LEN(数据源!D86)=0,"",数据源!D86),数据源!P86)</f>
        <v/>
      </c>
      <c r="E61" s="2"/>
      <c r="F61" s="2" t="str">
        <f>IF(ISBLANK(数据源!E86),"",数据源!E86)</f>
        <v/>
      </c>
      <c r="G61" s="2" t="str">
        <f>IF(ISBLANK(数据源!G86),"",IF(数据源!G86="A","合格","不合格"))</f>
        <v/>
      </c>
      <c r="H61" s="2" t="str">
        <f>IF(ISBLANK(数据源!H86),"",数据源!H86)</f>
        <v/>
      </c>
      <c r="I61" s="2" t="str">
        <f>IF(ISBLANK(数据源!J86),"",数据源!J86)</f>
        <v/>
      </c>
      <c r="J61" s="2" t="str">
        <f>IF(ISBLANK(数据源!L86),"",数据源!L86)</f>
        <v/>
      </c>
      <c r="K61" s="1" t="str">
        <f>IF(数据源!AD86="外检","#","")</f>
        <v/>
      </c>
      <c r="L61" s="2" t="str">
        <f>IF(ISBLANK(数据源!U86),"",数据源!U86)</f>
        <v/>
      </c>
      <c r="M61" s="2" t="str">
        <f>IF(ISBLANK(数据源!V86),"",IF(数据源!V86="/",数据源!Y86,数据源!V86))</f>
        <v/>
      </c>
      <c r="N61" s="2" t="str">
        <f>IF(LEN(数据源!AI86)=0,IF(LEN(数据源!W86)=0,"",数据源!W86),数据源!AI86)</f>
        <v/>
      </c>
      <c r="O61" s="1"/>
      <c r="P61" s="2" t="str">
        <f>IF(ISBLANK(数据源!X86),"",数据源!X86)</f>
        <v/>
      </c>
      <c r="Q61" s="2" t="str">
        <f>IF(ISBLANK(数据源!Z86),"",IF(数据源!Z86="A","合格","不合格"))</f>
        <v/>
      </c>
      <c r="R61" s="2" t="str">
        <f>IF(ISBLANK(数据源!AA86),"",数据源!AA86)</f>
        <v/>
      </c>
      <c r="S61" s="2" t="str">
        <f>IF(ISBLANK(数据源!AC86),"",数据源!AC86)</f>
        <v/>
      </c>
      <c r="T61" s="2" t="str">
        <f>IF(ISBLANK(数据源!AE86),"",数据源!AE86)</f>
        <v/>
      </c>
      <c r="AW61" s="1" t="str">
        <f>IF(数据源!K86="外检","#","")</f>
        <v/>
      </c>
      <c r="AX61" s="2" t="str">
        <f>IF(ISBLANK(数据源!Q86),"",数据源!Q86)</f>
        <v/>
      </c>
      <c r="AY61" s="2" t="str">
        <f>IF(ISBLANK(数据源!R86),"",数据源!R86)</f>
        <v/>
      </c>
      <c r="AZ61" s="2" t="str">
        <f>IF(LEN(数据源!P86)=0,IF(LEN(数据源!D86)=0,"",数据源!D86),数据源!P86)</f>
        <v/>
      </c>
      <c r="BA61" s="2"/>
      <c r="BB61" s="2" t="str">
        <f>IF(ISBLANK(数据源!E86),"",数据源!E86)</f>
        <v/>
      </c>
      <c r="BC61" s="2" t="str">
        <f>IF(ISBLANK(数据源!G86),"",IF(数据源!G86="A","Qualified","Unqualified"))</f>
        <v/>
      </c>
      <c r="BD61" s="2" t="str">
        <f>IF(ISBLANK(数据源!S86),"",数据源!S86)</f>
        <v/>
      </c>
      <c r="BE61" s="2" t="str">
        <f>IF(ISBLANK(数据源!J86),"",数据源!J86)</f>
        <v/>
      </c>
      <c r="BF61" s="2" t="str">
        <f>IF(ISBLANK(数据源!L86),"",数据源!L86)</f>
        <v/>
      </c>
      <c r="BG61" s="1" t="str">
        <f>IF(数据源!AD86="外检","#","")</f>
        <v/>
      </c>
      <c r="BH61" s="2" t="str">
        <f>IF(ISBLANK(数据源!AJ86),"",数据源!AJ86)</f>
        <v/>
      </c>
      <c r="BI61" s="2" t="str">
        <f>IF(ISBLANK(数据源!AK86),"",数据源!AK86)</f>
        <v/>
      </c>
      <c r="BJ61" s="2" t="str">
        <f>IF(LEN(数据源!AI86)=0,IF(LEN(数据源!W86)=0,"",数据源!W86),数据源!AI86)</f>
        <v/>
      </c>
      <c r="BK61" s="1"/>
      <c r="BL61" s="2" t="str">
        <f>IF(ISBLANK(数据源!X86),"",数据源!X86)</f>
        <v/>
      </c>
      <c r="BM61" s="2" t="str">
        <f>IF(ISBLANK(数据源!Z86),"",IF(数据源!Z86="A","Qualified","Unqualified"))</f>
        <v/>
      </c>
      <c r="BN61" s="2" t="str">
        <f>IF(ISBLANK(数据源!AL86),"",数据源!AL86)</f>
        <v/>
      </c>
      <c r="BO61" s="2" t="str">
        <f>IF(ISBLANK(数据源!AC86),"",数据源!AC86)</f>
        <v/>
      </c>
      <c r="BP61" s="2" t="str">
        <f>IF(ISBLANK(数据源!AE86),"",数据源!AE86)</f>
        <v/>
      </c>
      <c r="CP61" s="86" t="str">
        <f>IF(ISBLANK(数据源!AW86),"",数据源!AW86)</f>
        <v/>
      </c>
      <c r="CQ61" s="86"/>
      <c r="CR61" s="86" t="str">
        <f>IF(ISBLANK(数据源!AX86),"",数据源!AX86)</f>
        <v/>
      </c>
      <c r="CS61" s="86" t="str">
        <f>IF(ISBLANK(数据源!AV86),"",数据源!AV86)</f>
        <v/>
      </c>
      <c r="CT61" s="86"/>
      <c r="CU61" s="87" t="s">
        <v>168</v>
      </c>
      <c r="CV61" s="86"/>
      <c r="CW61" s="86" t="str">
        <f>IF(ISBLANK(数据源!AU86),"",数据源!AU86)</f>
        <v/>
      </c>
      <c r="DA61" s="97">
        <f>IF(数据源!L86&lt;&gt;"QA",0,数据源!O86)</f>
        <v>0</v>
      </c>
      <c r="DB61" s="97">
        <f>数据源!M86</f>
        <v>0</v>
      </c>
      <c r="DC61" s="97">
        <f>数据源!N86</f>
        <v>0</v>
      </c>
      <c r="DD61" s="97">
        <f>IF(数据源!L86&lt;&gt;"QC",0,数据源!O86)</f>
        <v>0</v>
      </c>
    </row>
    <row r="62" spans="1:108">
      <c r="A62" s="1" t="str">
        <f>IF(数据源!K87="外检","#","")</f>
        <v/>
      </c>
      <c r="B62" s="2" t="str">
        <f>IF(ISBLANK(数据源!B87),"",数据源!B87)</f>
        <v/>
      </c>
      <c r="C62" s="2" t="str">
        <f>IF(ISBLANK(数据源!C87),"",IF(数据源!C87="/",数据源!F87,数据源!C87))</f>
        <v/>
      </c>
      <c r="D62" s="2" t="str">
        <f>IF(LEN(数据源!P87)=0,IF(LEN(数据源!D87)=0,"",数据源!D87),数据源!P87)</f>
        <v/>
      </c>
      <c r="E62" s="2"/>
      <c r="F62" s="2" t="str">
        <f>IF(ISBLANK(数据源!E87),"",数据源!E87)</f>
        <v/>
      </c>
      <c r="G62" s="2" t="str">
        <f>IF(ISBLANK(数据源!G87),"",IF(数据源!G87="A","合格","不合格"))</f>
        <v/>
      </c>
      <c r="H62" s="2" t="str">
        <f>IF(ISBLANK(数据源!H87),"",数据源!H87)</f>
        <v/>
      </c>
      <c r="I62" s="2" t="str">
        <f>IF(ISBLANK(数据源!J87),"",数据源!J87)</f>
        <v/>
      </c>
      <c r="J62" s="2" t="str">
        <f>IF(ISBLANK(数据源!L87),"",数据源!L87)</f>
        <v/>
      </c>
      <c r="K62" s="1" t="str">
        <f>IF(数据源!AD87="外检","#","")</f>
        <v/>
      </c>
      <c r="L62" s="2" t="str">
        <f>IF(ISBLANK(数据源!U87),"",数据源!U87)</f>
        <v/>
      </c>
      <c r="M62" s="2" t="str">
        <f>IF(ISBLANK(数据源!V87),"",IF(数据源!V87="/",数据源!Y87,数据源!V87))</f>
        <v/>
      </c>
      <c r="N62" s="2" t="str">
        <f>IF(LEN(数据源!AI87)=0,IF(LEN(数据源!W87)=0,"",数据源!W87),数据源!AI87)</f>
        <v/>
      </c>
      <c r="O62" s="1"/>
      <c r="P62" s="2" t="str">
        <f>IF(ISBLANK(数据源!X87),"",数据源!X87)</f>
        <v/>
      </c>
      <c r="Q62" s="2" t="str">
        <f>IF(ISBLANK(数据源!Z87),"",IF(数据源!Z87="A","合格","不合格"))</f>
        <v/>
      </c>
      <c r="R62" s="2" t="str">
        <f>IF(ISBLANK(数据源!AA87),"",数据源!AA87)</f>
        <v/>
      </c>
      <c r="S62" s="2" t="str">
        <f>IF(ISBLANK(数据源!AC87),"",数据源!AC87)</f>
        <v/>
      </c>
      <c r="T62" s="2" t="str">
        <f>IF(ISBLANK(数据源!AE87),"",数据源!AE87)</f>
        <v/>
      </c>
      <c r="AW62" s="1" t="str">
        <f>IF(数据源!K87="外检","#","")</f>
        <v/>
      </c>
      <c r="AX62" s="2" t="str">
        <f>IF(ISBLANK(数据源!Q87),"",数据源!Q87)</f>
        <v/>
      </c>
      <c r="AY62" s="2" t="str">
        <f>IF(ISBLANK(数据源!R87),"",数据源!R87)</f>
        <v/>
      </c>
      <c r="AZ62" s="2" t="str">
        <f>IF(LEN(数据源!P87)=0,IF(LEN(数据源!D87)=0,"",数据源!D87),数据源!P87)</f>
        <v/>
      </c>
      <c r="BA62" s="2"/>
      <c r="BB62" s="2" t="str">
        <f>IF(ISBLANK(数据源!E87),"",数据源!E87)</f>
        <v/>
      </c>
      <c r="BC62" s="2" t="str">
        <f>IF(ISBLANK(数据源!G87),"",IF(数据源!G87="A","Qualified","Unqualified"))</f>
        <v/>
      </c>
      <c r="BD62" s="2" t="str">
        <f>IF(ISBLANK(数据源!S87),"",数据源!S87)</f>
        <v/>
      </c>
      <c r="BE62" s="2" t="str">
        <f>IF(ISBLANK(数据源!J87),"",数据源!J87)</f>
        <v/>
      </c>
      <c r="BF62" s="2" t="str">
        <f>IF(ISBLANK(数据源!L87),"",数据源!L87)</f>
        <v/>
      </c>
      <c r="BG62" s="1" t="str">
        <f>IF(数据源!AD87="外检","#","")</f>
        <v/>
      </c>
      <c r="BH62" s="2" t="str">
        <f>IF(ISBLANK(数据源!AJ87),"",数据源!AJ87)</f>
        <v/>
      </c>
      <c r="BI62" s="2" t="str">
        <f>IF(ISBLANK(数据源!AK87),"",数据源!AK87)</f>
        <v/>
      </c>
      <c r="BJ62" s="2" t="str">
        <f>IF(LEN(数据源!AI87)=0,IF(LEN(数据源!W87)=0,"",数据源!W87),数据源!AI87)</f>
        <v/>
      </c>
      <c r="BK62" s="1"/>
      <c r="BL62" s="2" t="str">
        <f>IF(ISBLANK(数据源!X87),"",数据源!X87)</f>
        <v/>
      </c>
      <c r="BM62" s="2" t="str">
        <f>IF(ISBLANK(数据源!Z87),"",IF(数据源!Z87="A","Qualified","Unqualified"))</f>
        <v/>
      </c>
      <c r="BN62" s="2" t="str">
        <f>IF(ISBLANK(数据源!AL87),"",数据源!AL87)</f>
        <v/>
      </c>
      <c r="BO62" s="2" t="str">
        <f>IF(ISBLANK(数据源!AC87),"",数据源!AC87)</f>
        <v/>
      </c>
      <c r="BP62" s="2" t="str">
        <f>IF(ISBLANK(数据源!AE87),"",数据源!AE87)</f>
        <v/>
      </c>
      <c r="CP62" s="86" t="str">
        <f>IF(ISBLANK(数据源!AW87),"",数据源!AW87)</f>
        <v/>
      </c>
      <c r="CQ62" s="86"/>
      <c r="CR62" s="86" t="str">
        <f>IF(ISBLANK(数据源!AX87),"",数据源!AX87)</f>
        <v/>
      </c>
      <c r="CS62" s="86" t="str">
        <f>IF(ISBLANK(数据源!AV87),"",数据源!AV87)</f>
        <v/>
      </c>
      <c r="CT62" s="86"/>
      <c r="CU62" s="87" t="s">
        <v>168</v>
      </c>
      <c r="CV62" s="86"/>
      <c r="CW62" s="86" t="str">
        <f>IF(ISBLANK(数据源!AU87),"",数据源!AU87)</f>
        <v/>
      </c>
      <c r="DA62" s="97">
        <f>IF(数据源!L87&lt;&gt;"QA",0,数据源!O87)</f>
        <v>0</v>
      </c>
      <c r="DB62" s="97">
        <f>数据源!M87</f>
        <v>0</v>
      </c>
      <c r="DC62" s="97">
        <f>数据源!N87</f>
        <v>0</v>
      </c>
      <c r="DD62" s="97">
        <f>IF(数据源!L87&lt;&gt;"QC",0,数据源!O87)</f>
        <v>0</v>
      </c>
    </row>
    <row r="63" spans="1:108">
      <c r="A63" s="1" t="str">
        <f>IF(数据源!K88="外检","#","")</f>
        <v/>
      </c>
      <c r="B63" s="2" t="str">
        <f>IF(ISBLANK(数据源!B88),"",数据源!B88)</f>
        <v/>
      </c>
      <c r="C63" s="2" t="str">
        <f>IF(ISBLANK(数据源!C88),"",IF(数据源!C88="/",数据源!F88,数据源!C88))</f>
        <v/>
      </c>
      <c r="D63" s="2" t="str">
        <f>IF(LEN(数据源!P88)=0,IF(LEN(数据源!D88)=0,"",数据源!D88),数据源!P88)</f>
        <v/>
      </c>
      <c r="E63" s="2"/>
      <c r="F63" s="2" t="str">
        <f>IF(ISBLANK(数据源!E88),"",数据源!E88)</f>
        <v/>
      </c>
      <c r="G63" s="2" t="str">
        <f>IF(ISBLANK(数据源!G88),"",IF(数据源!G88="A","合格","不合格"))</f>
        <v/>
      </c>
      <c r="H63" s="2" t="str">
        <f>IF(ISBLANK(数据源!H88),"",数据源!H88)</f>
        <v/>
      </c>
      <c r="I63" s="2" t="str">
        <f>IF(ISBLANK(数据源!J88),"",数据源!J88)</f>
        <v/>
      </c>
      <c r="J63" s="2" t="str">
        <f>IF(ISBLANK(数据源!L88),"",数据源!L88)</f>
        <v/>
      </c>
      <c r="K63" s="1" t="str">
        <f>IF(数据源!AD88="外检","#","")</f>
        <v/>
      </c>
      <c r="L63" s="2" t="str">
        <f>IF(ISBLANK(数据源!U88),"",数据源!U88)</f>
        <v/>
      </c>
      <c r="M63" s="2" t="str">
        <f>IF(ISBLANK(数据源!V88),"",IF(数据源!V88="/",数据源!Y88,数据源!V88))</f>
        <v/>
      </c>
      <c r="N63" s="2" t="str">
        <f>IF(LEN(数据源!AI88)=0,IF(LEN(数据源!W88)=0,"",数据源!W88),数据源!AI88)</f>
        <v/>
      </c>
      <c r="O63" s="1"/>
      <c r="P63" s="2" t="str">
        <f>IF(ISBLANK(数据源!X88),"",数据源!X88)</f>
        <v/>
      </c>
      <c r="Q63" s="2" t="str">
        <f>IF(ISBLANK(数据源!Z88),"",IF(数据源!Z88="A","合格","不合格"))</f>
        <v/>
      </c>
      <c r="R63" s="2" t="str">
        <f>IF(ISBLANK(数据源!AA88),"",数据源!AA88)</f>
        <v/>
      </c>
      <c r="S63" s="2" t="str">
        <f>IF(ISBLANK(数据源!AC88),"",数据源!AC88)</f>
        <v/>
      </c>
      <c r="T63" s="2" t="str">
        <f>IF(ISBLANK(数据源!AE88),"",数据源!AE88)</f>
        <v/>
      </c>
      <c r="AW63" s="1" t="str">
        <f>IF(数据源!K88="外检","#","")</f>
        <v/>
      </c>
      <c r="AX63" s="2" t="str">
        <f>IF(ISBLANK(数据源!Q88),"",数据源!Q88)</f>
        <v/>
      </c>
      <c r="AY63" s="2" t="str">
        <f>IF(ISBLANK(数据源!R88),"",数据源!R88)</f>
        <v/>
      </c>
      <c r="AZ63" s="2" t="str">
        <f>IF(LEN(数据源!P88)=0,IF(LEN(数据源!D88)=0,"",数据源!D88),数据源!P88)</f>
        <v/>
      </c>
      <c r="BA63" s="2"/>
      <c r="BB63" s="2" t="str">
        <f>IF(ISBLANK(数据源!E88),"",数据源!E88)</f>
        <v/>
      </c>
      <c r="BC63" s="2" t="str">
        <f>IF(ISBLANK(数据源!G88),"",IF(数据源!G88="A","Qualified","Unqualified"))</f>
        <v/>
      </c>
      <c r="BD63" s="2" t="str">
        <f>IF(ISBLANK(数据源!S88),"",数据源!S88)</f>
        <v/>
      </c>
      <c r="BE63" s="2" t="str">
        <f>IF(ISBLANK(数据源!J88),"",数据源!J88)</f>
        <v/>
      </c>
      <c r="BF63" s="2" t="str">
        <f>IF(ISBLANK(数据源!L88),"",数据源!L88)</f>
        <v/>
      </c>
      <c r="BG63" s="1" t="str">
        <f>IF(数据源!AD88="外检","#","")</f>
        <v/>
      </c>
      <c r="BH63" s="2" t="str">
        <f>IF(ISBLANK(数据源!AJ88),"",数据源!AJ88)</f>
        <v/>
      </c>
      <c r="BI63" s="2" t="str">
        <f>IF(ISBLANK(数据源!AK88),"",数据源!AK88)</f>
        <v/>
      </c>
      <c r="BJ63" s="2" t="str">
        <f>IF(LEN(数据源!AI88)=0,IF(LEN(数据源!W88)=0,"",数据源!W88),数据源!AI88)</f>
        <v/>
      </c>
      <c r="BK63" s="1"/>
      <c r="BL63" s="2" t="str">
        <f>IF(ISBLANK(数据源!X88),"",数据源!X88)</f>
        <v/>
      </c>
      <c r="BM63" s="2" t="str">
        <f>IF(ISBLANK(数据源!Z88),"",IF(数据源!Z88="A","Qualified","Unqualified"))</f>
        <v/>
      </c>
      <c r="BN63" s="2" t="str">
        <f>IF(ISBLANK(数据源!AL88),"",数据源!AL88)</f>
        <v/>
      </c>
      <c r="BO63" s="2" t="str">
        <f>IF(ISBLANK(数据源!AC88),"",数据源!AC88)</f>
        <v/>
      </c>
      <c r="BP63" s="2" t="str">
        <f>IF(ISBLANK(数据源!AE88),"",数据源!AE88)</f>
        <v/>
      </c>
      <c r="CP63" s="86" t="str">
        <f>IF(ISBLANK(数据源!AW88),"",数据源!AW88)</f>
        <v/>
      </c>
      <c r="CQ63" s="86"/>
      <c r="CR63" s="86" t="str">
        <f>IF(ISBLANK(数据源!AX88),"",数据源!AX88)</f>
        <v/>
      </c>
      <c r="CS63" s="86" t="str">
        <f>IF(ISBLANK(数据源!AV88),"",数据源!AV88)</f>
        <v/>
      </c>
      <c r="CT63" s="86"/>
      <c r="CU63" s="87" t="s">
        <v>168</v>
      </c>
      <c r="CV63" s="86"/>
      <c r="CW63" s="86" t="str">
        <f>IF(ISBLANK(数据源!AU88),"",数据源!AU88)</f>
        <v/>
      </c>
      <c r="DA63" s="97">
        <f>IF(数据源!L88&lt;&gt;"QA",0,数据源!O88)</f>
        <v>0</v>
      </c>
      <c r="DB63" s="97">
        <f>数据源!M88</f>
        <v>0</v>
      </c>
      <c r="DC63" s="97">
        <f>数据源!N88</f>
        <v>0</v>
      </c>
      <c r="DD63" s="97">
        <f>IF(数据源!L88&lt;&gt;"QC",0,数据源!O88)</f>
        <v>0</v>
      </c>
    </row>
    <row r="64" spans="1:108">
      <c r="A64" s="1" t="str">
        <f>IF(数据源!K89="外检","#","")</f>
        <v/>
      </c>
      <c r="B64" s="2" t="str">
        <f>IF(ISBLANK(数据源!B89),"",数据源!B89)</f>
        <v/>
      </c>
      <c r="C64" s="2" t="str">
        <f>IF(ISBLANK(数据源!C89),"",IF(数据源!C89="/",数据源!F89,数据源!C89))</f>
        <v/>
      </c>
      <c r="D64" s="2" t="str">
        <f>IF(LEN(数据源!P89)=0,IF(LEN(数据源!D89)=0,"",数据源!D89),数据源!P89)</f>
        <v/>
      </c>
      <c r="E64" s="2"/>
      <c r="F64" s="2" t="str">
        <f>IF(ISBLANK(数据源!E89),"",数据源!E89)</f>
        <v/>
      </c>
      <c r="G64" s="2" t="str">
        <f>IF(ISBLANK(数据源!G89),"",IF(数据源!G89="A","合格","不合格"))</f>
        <v/>
      </c>
      <c r="H64" s="2" t="str">
        <f>IF(ISBLANK(数据源!H89),"",数据源!H89)</f>
        <v/>
      </c>
      <c r="I64" s="2" t="str">
        <f>IF(ISBLANK(数据源!J89),"",数据源!J89)</f>
        <v/>
      </c>
      <c r="J64" s="2" t="str">
        <f>IF(ISBLANK(数据源!L89),"",数据源!L89)</f>
        <v/>
      </c>
      <c r="K64" s="1" t="str">
        <f>IF(数据源!AD89="外检","#","")</f>
        <v/>
      </c>
      <c r="L64" s="2" t="str">
        <f>IF(ISBLANK(数据源!U89),"",数据源!U89)</f>
        <v/>
      </c>
      <c r="M64" s="2" t="str">
        <f>IF(ISBLANK(数据源!V89),"",IF(数据源!V89="/",数据源!Y89,数据源!V89))</f>
        <v/>
      </c>
      <c r="N64" s="2" t="str">
        <f>IF(LEN(数据源!AI89)=0,IF(LEN(数据源!W89)=0,"",数据源!W89),数据源!AI89)</f>
        <v/>
      </c>
      <c r="O64" s="1"/>
      <c r="P64" s="2" t="str">
        <f>IF(ISBLANK(数据源!X89),"",数据源!X89)</f>
        <v/>
      </c>
      <c r="Q64" s="2" t="str">
        <f>IF(ISBLANK(数据源!Z89),"",IF(数据源!Z89="A","合格","不合格"))</f>
        <v/>
      </c>
      <c r="R64" s="2" t="str">
        <f>IF(ISBLANK(数据源!AA89),"",数据源!AA89)</f>
        <v/>
      </c>
      <c r="S64" s="2" t="str">
        <f>IF(ISBLANK(数据源!AC89),"",数据源!AC89)</f>
        <v/>
      </c>
      <c r="T64" s="2" t="str">
        <f>IF(ISBLANK(数据源!AE89),"",数据源!AE89)</f>
        <v/>
      </c>
      <c r="AW64" s="1" t="str">
        <f>IF(数据源!K89="外检","#","")</f>
        <v/>
      </c>
      <c r="AX64" s="2" t="str">
        <f>IF(ISBLANK(数据源!Q89),"",数据源!Q89)</f>
        <v/>
      </c>
      <c r="AY64" s="2" t="str">
        <f>IF(ISBLANK(数据源!R89),"",数据源!R89)</f>
        <v/>
      </c>
      <c r="AZ64" s="2" t="str">
        <f>IF(LEN(数据源!P89)=0,IF(LEN(数据源!D89)=0,"",数据源!D89),数据源!P89)</f>
        <v/>
      </c>
      <c r="BA64" s="2"/>
      <c r="BB64" s="2" t="str">
        <f>IF(ISBLANK(数据源!E89),"",数据源!E89)</f>
        <v/>
      </c>
      <c r="BC64" s="2" t="str">
        <f>IF(ISBLANK(数据源!G89),"",IF(数据源!G89="A","Qualified","Unqualified"))</f>
        <v/>
      </c>
      <c r="BD64" s="2" t="str">
        <f>IF(ISBLANK(数据源!S89),"",数据源!S89)</f>
        <v/>
      </c>
      <c r="BE64" s="2" t="str">
        <f>IF(ISBLANK(数据源!J89),"",数据源!J89)</f>
        <v/>
      </c>
      <c r="BF64" s="2" t="str">
        <f>IF(ISBLANK(数据源!L89),"",数据源!L89)</f>
        <v/>
      </c>
      <c r="BG64" s="1" t="str">
        <f>IF(数据源!AD89="外检","#","")</f>
        <v/>
      </c>
      <c r="BH64" s="2" t="str">
        <f>IF(ISBLANK(数据源!AJ89),"",数据源!AJ89)</f>
        <v/>
      </c>
      <c r="BI64" s="2" t="str">
        <f>IF(ISBLANK(数据源!AK89),"",数据源!AK89)</f>
        <v/>
      </c>
      <c r="BJ64" s="2" t="str">
        <f>IF(LEN(数据源!AI89)=0,IF(LEN(数据源!W89)=0,"",数据源!W89),数据源!AI89)</f>
        <v/>
      </c>
      <c r="BK64" s="1"/>
      <c r="BL64" s="2" t="str">
        <f>IF(ISBLANK(数据源!X89),"",数据源!X89)</f>
        <v/>
      </c>
      <c r="BM64" s="2" t="str">
        <f>IF(ISBLANK(数据源!Z89),"",IF(数据源!Z89="A","Qualified","Unqualified"))</f>
        <v/>
      </c>
      <c r="BN64" s="2" t="str">
        <f>IF(ISBLANK(数据源!AL89),"",数据源!AL89)</f>
        <v/>
      </c>
      <c r="BO64" s="2" t="str">
        <f>IF(ISBLANK(数据源!AC89),"",数据源!AC89)</f>
        <v/>
      </c>
      <c r="BP64" s="2" t="str">
        <f>IF(ISBLANK(数据源!AE89),"",数据源!AE89)</f>
        <v/>
      </c>
      <c r="CP64" s="86" t="str">
        <f>IF(ISBLANK(数据源!AW89),"",数据源!AW89)</f>
        <v/>
      </c>
      <c r="CQ64" s="86"/>
      <c r="CR64" s="86" t="str">
        <f>IF(ISBLANK(数据源!AX89),"",数据源!AX89)</f>
        <v/>
      </c>
      <c r="CS64" s="86" t="str">
        <f>IF(ISBLANK(数据源!AV89),"",数据源!AV89)</f>
        <v/>
      </c>
      <c r="CT64" s="86"/>
      <c r="CU64" s="87" t="s">
        <v>168</v>
      </c>
      <c r="CV64" s="86"/>
      <c r="CW64" s="86" t="str">
        <f>IF(ISBLANK(数据源!AU89),"",数据源!AU89)</f>
        <v/>
      </c>
      <c r="DA64" s="97">
        <f>IF(数据源!L89&lt;&gt;"QA",0,数据源!O89)</f>
        <v>0</v>
      </c>
      <c r="DB64" s="97">
        <f>数据源!M89</f>
        <v>0</v>
      </c>
      <c r="DC64" s="97">
        <f>数据源!N89</f>
        <v>0</v>
      </c>
      <c r="DD64" s="97">
        <f>IF(数据源!L89&lt;&gt;"QC",0,数据源!O89)</f>
        <v>0</v>
      </c>
    </row>
    <row r="65" spans="1:108">
      <c r="A65" s="1" t="str">
        <f>IF(数据源!K90="外检","#","")</f>
        <v/>
      </c>
      <c r="B65" s="2" t="str">
        <f>IF(ISBLANK(数据源!B90),"",数据源!B90)</f>
        <v/>
      </c>
      <c r="C65" s="2" t="str">
        <f>IF(ISBLANK(数据源!C90),"",IF(数据源!C90="/",数据源!F90,数据源!C90))</f>
        <v/>
      </c>
      <c r="D65" s="2" t="str">
        <f>IF(LEN(数据源!P90)=0,IF(LEN(数据源!D90)=0,"",数据源!D90),数据源!P90)</f>
        <v/>
      </c>
      <c r="E65" s="2"/>
      <c r="F65" s="2" t="str">
        <f>IF(ISBLANK(数据源!E90),"",数据源!E90)</f>
        <v/>
      </c>
      <c r="G65" s="2" t="str">
        <f>IF(ISBLANK(数据源!G90),"",IF(数据源!G90="A","合格","不合格"))</f>
        <v/>
      </c>
      <c r="H65" s="2" t="str">
        <f>IF(ISBLANK(数据源!H90),"",数据源!H90)</f>
        <v/>
      </c>
      <c r="I65" s="2" t="str">
        <f>IF(ISBLANK(数据源!J90),"",数据源!J90)</f>
        <v/>
      </c>
      <c r="J65" s="2" t="str">
        <f>IF(ISBLANK(数据源!L90),"",数据源!L90)</f>
        <v/>
      </c>
      <c r="K65" s="1" t="str">
        <f>IF(数据源!AD90="外检","#","")</f>
        <v/>
      </c>
      <c r="L65" s="2" t="str">
        <f>IF(ISBLANK(数据源!U90),"",数据源!U90)</f>
        <v/>
      </c>
      <c r="M65" s="2" t="str">
        <f>IF(ISBLANK(数据源!V90),"",IF(数据源!V90="/",数据源!Y90,数据源!V90))</f>
        <v/>
      </c>
      <c r="N65" s="2" t="str">
        <f>IF(LEN(数据源!AI90)=0,IF(LEN(数据源!W90)=0,"",数据源!W90),数据源!AI90)</f>
        <v/>
      </c>
      <c r="O65" s="1"/>
      <c r="P65" s="2" t="str">
        <f>IF(ISBLANK(数据源!X90),"",数据源!X90)</f>
        <v/>
      </c>
      <c r="Q65" s="2" t="str">
        <f>IF(ISBLANK(数据源!Z90),"",IF(数据源!Z90="A","合格","不合格"))</f>
        <v/>
      </c>
      <c r="R65" s="2" t="str">
        <f>IF(ISBLANK(数据源!AA90),"",数据源!AA90)</f>
        <v/>
      </c>
      <c r="S65" s="2" t="str">
        <f>IF(ISBLANK(数据源!AC90),"",数据源!AC90)</f>
        <v/>
      </c>
      <c r="T65" s="2" t="str">
        <f>IF(ISBLANK(数据源!AE90),"",数据源!AE90)</f>
        <v/>
      </c>
      <c r="AW65" s="1" t="str">
        <f>IF(数据源!K90="外检","#","")</f>
        <v/>
      </c>
      <c r="AX65" s="2" t="str">
        <f>IF(ISBLANK(数据源!Q90),"",数据源!Q90)</f>
        <v/>
      </c>
      <c r="AY65" s="2" t="str">
        <f>IF(ISBLANK(数据源!R90),"",数据源!R90)</f>
        <v/>
      </c>
      <c r="AZ65" s="2" t="str">
        <f>IF(LEN(数据源!P90)=0,IF(LEN(数据源!D90)=0,"",数据源!D90),数据源!P90)</f>
        <v/>
      </c>
      <c r="BA65" s="2"/>
      <c r="BB65" s="2" t="str">
        <f>IF(ISBLANK(数据源!E90),"",数据源!E90)</f>
        <v/>
      </c>
      <c r="BC65" s="2" t="str">
        <f>IF(ISBLANK(数据源!G90),"",IF(数据源!G90="A","Qualified","Unqualified"))</f>
        <v/>
      </c>
      <c r="BD65" s="2" t="str">
        <f>IF(ISBLANK(数据源!S90),"",数据源!S90)</f>
        <v/>
      </c>
      <c r="BE65" s="2" t="str">
        <f>IF(ISBLANK(数据源!J90),"",数据源!J90)</f>
        <v/>
      </c>
      <c r="BF65" s="2" t="str">
        <f>IF(ISBLANK(数据源!L90),"",数据源!L90)</f>
        <v/>
      </c>
      <c r="BG65" s="1" t="str">
        <f>IF(数据源!AD90="外检","#","")</f>
        <v/>
      </c>
      <c r="BH65" s="2" t="str">
        <f>IF(ISBLANK(数据源!AJ90),"",数据源!AJ90)</f>
        <v/>
      </c>
      <c r="BI65" s="2" t="str">
        <f>IF(ISBLANK(数据源!AK90),"",数据源!AK90)</f>
        <v/>
      </c>
      <c r="BJ65" s="2" t="str">
        <f>IF(LEN(数据源!AI90)=0,IF(LEN(数据源!W90)=0,"",数据源!W90),数据源!AI90)</f>
        <v/>
      </c>
      <c r="BK65" s="1"/>
      <c r="BL65" s="2" t="str">
        <f>IF(ISBLANK(数据源!X90),"",数据源!X90)</f>
        <v/>
      </c>
      <c r="BM65" s="2" t="str">
        <f>IF(ISBLANK(数据源!Z90),"",IF(数据源!Z90="A","Qualified","Unqualified"))</f>
        <v/>
      </c>
      <c r="BN65" s="2" t="str">
        <f>IF(ISBLANK(数据源!AL90),"",数据源!AL90)</f>
        <v/>
      </c>
      <c r="BO65" s="2" t="str">
        <f>IF(ISBLANK(数据源!AC90),"",数据源!AC90)</f>
        <v/>
      </c>
      <c r="BP65" s="2" t="str">
        <f>IF(ISBLANK(数据源!AE90),"",数据源!AE90)</f>
        <v/>
      </c>
      <c r="CP65" s="86" t="str">
        <f>IF(ISBLANK(数据源!AW90),"",数据源!AW90)</f>
        <v/>
      </c>
      <c r="CQ65" s="86"/>
      <c r="CR65" s="86" t="str">
        <f>IF(ISBLANK(数据源!AX90),"",数据源!AX90)</f>
        <v/>
      </c>
      <c r="CS65" s="86" t="str">
        <f>IF(ISBLANK(数据源!AV90),"",数据源!AV90)</f>
        <v/>
      </c>
      <c r="CT65" s="86"/>
      <c r="CU65" s="87" t="s">
        <v>168</v>
      </c>
      <c r="CV65" s="86"/>
      <c r="CW65" s="86" t="str">
        <f>IF(ISBLANK(数据源!AU90),"",数据源!AU90)</f>
        <v/>
      </c>
      <c r="DA65" s="97">
        <f>IF(数据源!L90&lt;&gt;"QA",0,数据源!O90)</f>
        <v>0</v>
      </c>
      <c r="DB65" s="97">
        <f>数据源!M90</f>
        <v>0</v>
      </c>
      <c r="DC65" s="97">
        <f>数据源!N90</f>
        <v>0</v>
      </c>
      <c r="DD65" s="97">
        <f>IF(数据源!L90&lt;&gt;"QC",0,数据源!O90)</f>
        <v>0</v>
      </c>
    </row>
    <row r="66" spans="1:108">
      <c r="A66" s="1" t="str">
        <f>IF(数据源!K91="外检","#","")</f>
        <v/>
      </c>
      <c r="B66" s="2" t="str">
        <f>IF(ISBLANK(数据源!B91),"",数据源!B91)</f>
        <v/>
      </c>
      <c r="C66" s="2" t="str">
        <f>IF(ISBLANK(数据源!C91),"",IF(数据源!C91="/",数据源!F91,数据源!C91))</f>
        <v/>
      </c>
      <c r="D66" s="2" t="str">
        <f>IF(LEN(数据源!P91)=0,IF(LEN(数据源!D91)=0,"",数据源!D91),数据源!P91)</f>
        <v/>
      </c>
      <c r="E66" s="2"/>
      <c r="F66" s="2" t="str">
        <f>IF(ISBLANK(数据源!E91),"",数据源!E91)</f>
        <v/>
      </c>
      <c r="G66" s="2" t="str">
        <f>IF(ISBLANK(数据源!G91),"",IF(数据源!G91="A","合格","不合格"))</f>
        <v/>
      </c>
      <c r="H66" s="2" t="str">
        <f>IF(ISBLANK(数据源!H91),"",数据源!H91)</f>
        <v/>
      </c>
      <c r="I66" s="2" t="str">
        <f>IF(ISBLANK(数据源!J91),"",数据源!J91)</f>
        <v/>
      </c>
      <c r="J66" s="2" t="str">
        <f>IF(ISBLANK(数据源!L91),"",数据源!L91)</f>
        <v/>
      </c>
      <c r="K66" s="1" t="str">
        <f>IF(数据源!AD91="外检","#","")</f>
        <v/>
      </c>
      <c r="L66" s="2" t="str">
        <f>IF(ISBLANK(数据源!U91),"",数据源!U91)</f>
        <v/>
      </c>
      <c r="M66" s="2" t="str">
        <f>IF(ISBLANK(数据源!V91),"",IF(数据源!V91="/",数据源!Y91,数据源!V91))</f>
        <v/>
      </c>
      <c r="N66" s="2" t="str">
        <f>IF(LEN(数据源!AI91)=0,IF(LEN(数据源!W91)=0,"",数据源!W91),数据源!AI91)</f>
        <v/>
      </c>
      <c r="O66" s="1"/>
      <c r="P66" s="2" t="str">
        <f>IF(ISBLANK(数据源!X91),"",数据源!X91)</f>
        <v/>
      </c>
      <c r="Q66" s="2" t="str">
        <f>IF(ISBLANK(数据源!Z91),"",IF(数据源!Z91="A","合格","不合格"))</f>
        <v/>
      </c>
      <c r="R66" s="2" t="str">
        <f>IF(ISBLANK(数据源!AA91),"",数据源!AA91)</f>
        <v/>
      </c>
      <c r="S66" s="2" t="str">
        <f>IF(ISBLANK(数据源!AC91),"",数据源!AC91)</f>
        <v/>
      </c>
      <c r="T66" s="2" t="str">
        <f>IF(ISBLANK(数据源!AE91),"",数据源!AE91)</f>
        <v/>
      </c>
      <c r="AW66" s="1" t="str">
        <f>IF(数据源!K91="外检","#","")</f>
        <v/>
      </c>
      <c r="AX66" s="2" t="str">
        <f>IF(ISBLANK(数据源!Q91),"",数据源!Q91)</f>
        <v/>
      </c>
      <c r="AY66" s="2" t="str">
        <f>IF(ISBLANK(数据源!R91),"",数据源!R91)</f>
        <v/>
      </c>
      <c r="AZ66" s="2" t="str">
        <f>IF(LEN(数据源!P91)=0,IF(LEN(数据源!D91)=0,"",数据源!D91),数据源!P91)</f>
        <v/>
      </c>
      <c r="BA66" s="2"/>
      <c r="BB66" s="2" t="str">
        <f>IF(ISBLANK(数据源!E91),"",数据源!E91)</f>
        <v/>
      </c>
      <c r="BC66" s="2" t="str">
        <f>IF(ISBLANK(数据源!G91),"",IF(数据源!G91="A","Qualified","Unqualified"))</f>
        <v/>
      </c>
      <c r="BD66" s="2" t="str">
        <f>IF(ISBLANK(数据源!S91),"",数据源!S91)</f>
        <v/>
      </c>
      <c r="BE66" s="2" t="str">
        <f>IF(ISBLANK(数据源!J91),"",数据源!J91)</f>
        <v/>
      </c>
      <c r="BF66" s="2" t="str">
        <f>IF(ISBLANK(数据源!L91),"",数据源!L91)</f>
        <v/>
      </c>
      <c r="BG66" s="1" t="str">
        <f>IF(数据源!AD91="外检","#","")</f>
        <v/>
      </c>
      <c r="BH66" s="2" t="str">
        <f>IF(ISBLANK(数据源!AJ91),"",数据源!AJ91)</f>
        <v/>
      </c>
      <c r="BI66" s="2" t="str">
        <f>IF(ISBLANK(数据源!AK91),"",数据源!AK91)</f>
        <v/>
      </c>
      <c r="BJ66" s="2" t="str">
        <f>IF(LEN(数据源!AI91)=0,IF(LEN(数据源!W91)=0,"",数据源!W91),数据源!AI91)</f>
        <v/>
      </c>
      <c r="BK66" s="1"/>
      <c r="BL66" s="2" t="str">
        <f>IF(ISBLANK(数据源!X91),"",数据源!X91)</f>
        <v/>
      </c>
      <c r="BM66" s="2" t="str">
        <f>IF(ISBLANK(数据源!Z91),"",IF(数据源!Z91="A","Qualified","Unqualified"))</f>
        <v/>
      </c>
      <c r="BN66" s="2" t="str">
        <f>IF(ISBLANK(数据源!AL91),"",数据源!AL91)</f>
        <v/>
      </c>
      <c r="BO66" s="2" t="str">
        <f>IF(ISBLANK(数据源!AC91),"",数据源!AC91)</f>
        <v/>
      </c>
      <c r="BP66" s="2" t="str">
        <f>IF(ISBLANK(数据源!AE91),"",数据源!AE91)</f>
        <v/>
      </c>
      <c r="CP66" s="86" t="str">
        <f>IF(ISBLANK(数据源!AW91),"",数据源!AW91)</f>
        <v/>
      </c>
      <c r="CQ66" s="86"/>
      <c r="CR66" s="86" t="str">
        <f>IF(ISBLANK(数据源!AX91),"",数据源!AX91)</f>
        <v/>
      </c>
      <c r="CS66" s="86" t="str">
        <f>IF(ISBLANK(数据源!AV91),"",数据源!AV91)</f>
        <v/>
      </c>
      <c r="CT66" s="86"/>
      <c r="CU66" s="87" t="s">
        <v>168</v>
      </c>
      <c r="CV66" s="86"/>
      <c r="CW66" s="86" t="str">
        <f>IF(ISBLANK(数据源!AU91),"",数据源!AU91)</f>
        <v/>
      </c>
      <c r="DA66" s="97">
        <f>IF(数据源!L91&lt;&gt;"QA",0,数据源!O91)</f>
        <v>0</v>
      </c>
      <c r="DB66" s="97">
        <f>数据源!M91</f>
        <v>0</v>
      </c>
      <c r="DC66" s="97">
        <f>数据源!N91</f>
        <v>0</v>
      </c>
      <c r="DD66" s="97">
        <f>IF(数据源!L91&lt;&gt;"QC",0,数据源!O91)</f>
        <v>0</v>
      </c>
    </row>
    <row r="67" spans="1:108">
      <c r="A67" s="1" t="str">
        <f>IF(数据源!K92="外检","#","")</f>
        <v/>
      </c>
      <c r="B67" s="2" t="str">
        <f>IF(ISBLANK(数据源!B92),"",数据源!B92)</f>
        <v/>
      </c>
      <c r="C67" s="2" t="str">
        <f>IF(ISBLANK(数据源!C92),"",IF(数据源!C92="/",数据源!F92,数据源!C92))</f>
        <v/>
      </c>
      <c r="D67" s="2" t="str">
        <f>IF(LEN(数据源!P92)=0,IF(LEN(数据源!D92)=0,"",数据源!D92),数据源!P92)</f>
        <v/>
      </c>
      <c r="E67" s="2"/>
      <c r="F67" s="2" t="str">
        <f>IF(ISBLANK(数据源!E92),"",数据源!E92)</f>
        <v/>
      </c>
      <c r="G67" s="2" t="str">
        <f>IF(ISBLANK(数据源!G92),"",IF(数据源!G92="A","合格","不合格"))</f>
        <v/>
      </c>
      <c r="H67" s="2" t="str">
        <f>IF(ISBLANK(数据源!H92),"",数据源!H92)</f>
        <v/>
      </c>
      <c r="I67" s="2" t="str">
        <f>IF(ISBLANK(数据源!J92),"",数据源!J92)</f>
        <v/>
      </c>
      <c r="J67" s="2" t="str">
        <f>IF(ISBLANK(数据源!L92),"",数据源!L92)</f>
        <v/>
      </c>
      <c r="K67" s="1" t="str">
        <f>IF(数据源!AD92="外检","#","")</f>
        <v/>
      </c>
      <c r="L67" s="2" t="str">
        <f>IF(ISBLANK(数据源!U92),"",数据源!U92)</f>
        <v/>
      </c>
      <c r="M67" s="2" t="str">
        <f>IF(ISBLANK(数据源!V92),"",IF(数据源!V92="/",数据源!Y92,数据源!V92))</f>
        <v/>
      </c>
      <c r="N67" s="2" t="str">
        <f>IF(LEN(数据源!AI92)=0,IF(LEN(数据源!W92)=0,"",数据源!W92),数据源!AI92)</f>
        <v/>
      </c>
      <c r="O67" s="1"/>
      <c r="P67" s="2" t="str">
        <f>IF(ISBLANK(数据源!X92),"",数据源!X92)</f>
        <v/>
      </c>
      <c r="Q67" s="2" t="str">
        <f>IF(ISBLANK(数据源!Z92),"",IF(数据源!Z92="A","合格","不合格"))</f>
        <v/>
      </c>
      <c r="R67" s="2" t="str">
        <f>IF(ISBLANK(数据源!AA92),"",数据源!AA92)</f>
        <v/>
      </c>
      <c r="S67" s="2" t="str">
        <f>IF(ISBLANK(数据源!AC92),"",数据源!AC92)</f>
        <v/>
      </c>
      <c r="T67" s="2" t="str">
        <f>IF(ISBLANK(数据源!AE92),"",数据源!AE92)</f>
        <v/>
      </c>
      <c r="AW67" s="1" t="str">
        <f>IF(数据源!K92="外检","#","")</f>
        <v/>
      </c>
      <c r="AX67" s="2" t="str">
        <f>IF(ISBLANK(数据源!Q92),"",数据源!Q92)</f>
        <v/>
      </c>
      <c r="AY67" s="2" t="str">
        <f>IF(ISBLANK(数据源!R92),"",数据源!R92)</f>
        <v/>
      </c>
      <c r="AZ67" s="2" t="str">
        <f>IF(LEN(数据源!P92)=0,IF(LEN(数据源!D92)=0,"",数据源!D92),数据源!P92)</f>
        <v/>
      </c>
      <c r="BA67" s="2"/>
      <c r="BB67" s="2" t="str">
        <f>IF(ISBLANK(数据源!E92),"",数据源!E92)</f>
        <v/>
      </c>
      <c r="BC67" s="2" t="str">
        <f>IF(ISBLANK(数据源!G92),"",IF(数据源!G92="A","Qualified","Unqualified"))</f>
        <v/>
      </c>
      <c r="BD67" s="2" t="str">
        <f>IF(ISBLANK(数据源!S92),"",数据源!S92)</f>
        <v/>
      </c>
      <c r="BE67" s="2" t="str">
        <f>IF(ISBLANK(数据源!J92),"",数据源!J92)</f>
        <v/>
      </c>
      <c r="BF67" s="2" t="str">
        <f>IF(ISBLANK(数据源!L92),"",数据源!L92)</f>
        <v/>
      </c>
      <c r="BG67" s="1" t="str">
        <f>IF(数据源!AD92="外检","#","")</f>
        <v/>
      </c>
      <c r="BH67" s="2" t="str">
        <f>IF(ISBLANK(数据源!AJ92),"",数据源!AJ92)</f>
        <v/>
      </c>
      <c r="BI67" s="2" t="str">
        <f>IF(ISBLANK(数据源!AK92),"",数据源!AK92)</f>
        <v/>
      </c>
      <c r="BJ67" s="2" t="str">
        <f>IF(LEN(数据源!AI92)=0,IF(LEN(数据源!W92)=0,"",数据源!W92),数据源!AI92)</f>
        <v/>
      </c>
      <c r="BK67" s="1"/>
      <c r="BL67" s="2" t="str">
        <f>IF(ISBLANK(数据源!X92),"",数据源!X92)</f>
        <v/>
      </c>
      <c r="BM67" s="2" t="str">
        <f>IF(ISBLANK(数据源!Z92),"",IF(数据源!Z92="A","Qualified","Unqualified"))</f>
        <v/>
      </c>
      <c r="BN67" s="2" t="str">
        <f>IF(ISBLANK(数据源!AL92),"",数据源!AL92)</f>
        <v/>
      </c>
      <c r="BO67" s="2" t="str">
        <f>IF(ISBLANK(数据源!AC92),"",数据源!AC92)</f>
        <v/>
      </c>
      <c r="BP67" s="2" t="str">
        <f>IF(ISBLANK(数据源!AE92),"",数据源!AE92)</f>
        <v/>
      </c>
      <c r="CP67" s="86" t="str">
        <f>IF(ISBLANK(数据源!AW92),"",数据源!AW92)</f>
        <v/>
      </c>
      <c r="CQ67" s="86"/>
      <c r="CR67" s="86" t="str">
        <f>IF(ISBLANK(数据源!AX92),"",数据源!AX92)</f>
        <v/>
      </c>
      <c r="CS67" s="86" t="str">
        <f>IF(ISBLANK(数据源!AV92),"",数据源!AV92)</f>
        <v/>
      </c>
      <c r="CT67" s="86"/>
      <c r="CU67" s="87" t="s">
        <v>168</v>
      </c>
      <c r="CV67" s="86"/>
      <c r="CW67" s="86" t="str">
        <f>IF(ISBLANK(数据源!AU92),"",数据源!AU92)</f>
        <v/>
      </c>
      <c r="DA67" s="97">
        <f>IF(数据源!L92&lt;&gt;"QA",0,数据源!O92)</f>
        <v>0</v>
      </c>
      <c r="DB67" s="97">
        <f>数据源!M92</f>
        <v>0</v>
      </c>
      <c r="DC67" s="97">
        <f>数据源!N92</f>
        <v>0</v>
      </c>
      <c r="DD67" s="97">
        <f>IF(数据源!L92&lt;&gt;"QC",0,数据源!O92)</f>
        <v>0</v>
      </c>
    </row>
    <row r="68" spans="1:108">
      <c r="A68" s="1" t="str">
        <f>IF(数据源!K93="外检","#","")</f>
        <v/>
      </c>
      <c r="B68" s="2" t="str">
        <f>IF(ISBLANK(数据源!B93),"",数据源!B93)</f>
        <v/>
      </c>
      <c r="C68" s="2" t="str">
        <f>IF(ISBLANK(数据源!C93),"",IF(数据源!C93="/",数据源!F93,数据源!C93))</f>
        <v/>
      </c>
      <c r="D68" s="2" t="str">
        <f>IF(LEN(数据源!P93)=0,IF(LEN(数据源!D93)=0,"",数据源!D93),数据源!P93)</f>
        <v/>
      </c>
      <c r="E68" s="2"/>
      <c r="F68" s="2" t="str">
        <f>IF(ISBLANK(数据源!E93),"",数据源!E93)</f>
        <v/>
      </c>
      <c r="G68" s="2" t="str">
        <f>IF(ISBLANK(数据源!G93),"",IF(数据源!G93="A","合格","不合格"))</f>
        <v/>
      </c>
      <c r="H68" s="2" t="str">
        <f>IF(ISBLANK(数据源!H93),"",数据源!H93)</f>
        <v/>
      </c>
      <c r="I68" s="2" t="str">
        <f>IF(ISBLANK(数据源!J93),"",数据源!J93)</f>
        <v/>
      </c>
      <c r="J68" s="2" t="str">
        <f>IF(ISBLANK(数据源!L93),"",数据源!L93)</f>
        <v/>
      </c>
      <c r="K68" s="1" t="str">
        <f>IF(数据源!AD93="外检","#","")</f>
        <v/>
      </c>
      <c r="L68" s="2" t="str">
        <f>IF(ISBLANK(数据源!U93),"",数据源!U93)</f>
        <v/>
      </c>
      <c r="M68" s="2" t="str">
        <f>IF(ISBLANK(数据源!V93),"",IF(数据源!V93="/",数据源!Y93,数据源!V93))</f>
        <v/>
      </c>
      <c r="N68" s="2" t="str">
        <f>IF(LEN(数据源!AI93)=0,IF(LEN(数据源!W93)=0,"",数据源!W93),数据源!AI93)</f>
        <v/>
      </c>
      <c r="O68" s="1"/>
      <c r="P68" s="2" t="str">
        <f>IF(ISBLANK(数据源!X93),"",数据源!X93)</f>
        <v/>
      </c>
      <c r="Q68" s="2" t="str">
        <f>IF(ISBLANK(数据源!Z93),"",IF(数据源!Z93="A","合格","不合格"))</f>
        <v/>
      </c>
      <c r="R68" s="2" t="str">
        <f>IF(ISBLANK(数据源!AA93),"",数据源!AA93)</f>
        <v/>
      </c>
      <c r="S68" s="2" t="str">
        <f>IF(ISBLANK(数据源!AC93),"",数据源!AC93)</f>
        <v/>
      </c>
      <c r="T68" s="2" t="str">
        <f>IF(ISBLANK(数据源!AE93),"",数据源!AE93)</f>
        <v/>
      </c>
      <c r="AW68" s="1" t="str">
        <f>IF(数据源!K93="外检","#","")</f>
        <v/>
      </c>
      <c r="AX68" s="2" t="str">
        <f>IF(ISBLANK(数据源!Q93),"",数据源!Q93)</f>
        <v/>
      </c>
      <c r="AY68" s="2" t="str">
        <f>IF(ISBLANK(数据源!R93),"",数据源!R93)</f>
        <v/>
      </c>
      <c r="AZ68" s="2" t="str">
        <f>IF(LEN(数据源!P93)=0,IF(LEN(数据源!D93)=0,"",数据源!D93),数据源!P93)</f>
        <v/>
      </c>
      <c r="BA68" s="2"/>
      <c r="BB68" s="2" t="str">
        <f>IF(ISBLANK(数据源!E93),"",数据源!E93)</f>
        <v/>
      </c>
      <c r="BC68" s="2" t="str">
        <f>IF(ISBLANK(数据源!G93),"",IF(数据源!G93="A","Qualified","Unqualified"))</f>
        <v/>
      </c>
      <c r="BD68" s="2" t="str">
        <f>IF(ISBLANK(数据源!S93),"",数据源!S93)</f>
        <v/>
      </c>
      <c r="BE68" s="2" t="str">
        <f>IF(ISBLANK(数据源!J93),"",数据源!J93)</f>
        <v/>
      </c>
      <c r="BF68" s="2" t="str">
        <f>IF(ISBLANK(数据源!L93),"",数据源!L93)</f>
        <v/>
      </c>
      <c r="BG68" s="1" t="str">
        <f>IF(数据源!AD93="外检","#","")</f>
        <v/>
      </c>
      <c r="BH68" s="2" t="str">
        <f>IF(ISBLANK(数据源!AJ93),"",数据源!AJ93)</f>
        <v/>
      </c>
      <c r="BI68" s="2" t="str">
        <f>IF(ISBLANK(数据源!AK93),"",数据源!AK93)</f>
        <v/>
      </c>
      <c r="BJ68" s="2" t="str">
        <f>IF(LEN(数据源!AI93)=0,IF(LEN(数据源!W93)=0,"",数据源!W93),数据源!AI93)</f>
        <v/>
      </c>
      <c r="BK68" s="1"/>
      <c r="BL68" s="2" t="str">
        <f>IF(ISBLANK(数据源!X93),"",数据源!X93)</f>
        <v/>
      </c>
      <c r="BM68" s="2" t="str">
        <f>IF(ISBLANK(数据源!Z93),"",IF(数据源!Z93="A","Qualified","Unqualified"))</f>
        <v/>
      </c>
      <c r="BN68" s="2" t="str">
        <f>IF(ISBLANK(数据源!AL93),"",数据源!AL93)</f>
        <v/>
      </c>
      <c r="BO68" s="2" t="str">
        <f>IF(ISBLANK(数据源!AC93),"",数据源!AC93)</f>
        <v/>
      </c>
      <c r="BP68" s="2" t="str">
        <f>IF(ISBLANK(数据源!AE93),"",数据源!AE93)</f>
        <v/>
      </c>
      <c r="CP68" s="86" t="str">
        <f>IF(ISBLANK(数据源!AW93),"",数据源!AW93)</f>
        <v/>
      </c>
      <c r="CQ68" s="86"/>
      <c r="CR68" s="86" t="str">
        <f>IF(ISBLANK(数据源!AX93),"",数据源!AX93)</f>
        <v/>
      </c>
      <c r="CS68" s="86" t="str">
        <f>IF(ISBLANK(数据源!AV93),"",数据源!AV93)</f>
        <v/>
      </c>
      <c r="CT68" s="86"/>
      <c r="CU68" s="87" t="s">
        <v>168</v>
      </c>
      <c r="CV68" s="86"/>
      <c r="CW68" s="86" t="str">
        <f>IF(ISBLANK(数据源!AU93),"",数据源!AU93)</f>
        <v/>
      </c>
      <c r="DA68" s="97">
        <f>IF(数据源!L93&lt;&gt;"QA",0,数据源!O93)</f>
        <v>0</v>
      </c>
      <c r="DB68" s="97">
        <f>数据源!M93</f>
        <v>0</v>
      </c>
      <c r="DC68" s="97">
        <f>数据源!N93</f>
        <v>0</v>
      </c>
      <c r="DD68" s="97">
        <f>IF(数据源!L93&lt;&gt;"QC",0,数据源!O93)</f>
        <v>0</v>
      </c>
    </row>
    <row r="69" spans="1:108">
      <c r="A69" s="1" t="str">
        <f>IF(数据源!K94="外检","#","")</f>
        <v/>
      </c>
      <c r="B69" s="2" t="str">
        <f>IF(ISBLANK(数据源!B94),"",数据源!B94)</f>
        <v/>
      </c>
      <c r="C69" s="2" t="str">
        <f>IF(ISBLANK(数据源!C94),"",IF(数据源!C94="/",数据源!F94,数据源!C94))</f>
        <v/>
      </c>
      <c r="D69" s="2" t="str">
        <f>IF(LEN(数据源!P94)=0,IF(LEN(数据源!D94)=0,"",数据源!D94),数据源!P94)</f>
        <v/>
      </c>
      <c r="E69" s="2"/>
      <c r="F69" s="2" t="str">
        <f>IF(ISBLANK(数据源!E94),"",数据源!E94)</f>
        <v/>
      </c>
      <c r="G69" s="2" t="str">
        <f>IF(ISBLANK(数据源!G94),"",IF(数据源!G94="A","合格","不合格"))</f>
        <v/>
      </c>
      <c r="H69" s="2" t="str">
        <f>IF(ISBLANK(数据源!H94),"",数据源!H94)</f>
        <v/>
      </c>
      <c r="I69" s="2" t="str">
        <f>IF(ISBLANK(数据源!J94),"",数据源!J94)</f>
        <v/>
      </c>
      <c r="J69" s="2" t="str">
        <f>IF(ISBLANK(数据源!L94),"",数据源!L94)</f>
        <v/>
      </c>
      <c r="K69" s="1" t="str">
        <f>IF(数据源!AD94="外检","#","")</f>
        <v/>
      </c>
      <c r="L69" s="2" t="str">
        <f>IF(ISBLANK(数据源!U94),"",数据源!U94)</f>
        <v/>
      </c>
      <c r="M69" s="2" t="str">
        <f>IF(ISBLANK(数据源!V94),"",IF(数据源!V94="/",数据源!Y94,数据源!V94))</f>
        <v/>
      </c>
      <c r="N69" s="2" t="str">
        <f>IF(LEN(数据源!AI94)=0,IF(LEN(数据源!W94)=0,"",数据源!W94),数据源!AI94)</f>
        <v/>
      </c>
      <c r="O69" s="1"/>
      <c r="P69" s="2" t="str">
        <f>IF(ISBLANK(数据源!X94),"",数据源!X94)</f>
        <v/>
      </c>
      <c r="Q69" s="2" t="str">
        <f>IF(ISBLANK(数据源!Z94),"",IF(数据源!Z94="A","合格","不合格"))</f>
        <v/>
      </c>
      <c r="R69" s="2" t="str">
        <f>IF(ISBLANK(数据源!AA94),"",数据源!AA94)</f>
        <v/>
      </c>
      <c r="S69" s="2" t="str">
        <f>IF(ISBLANK(数据源!AC94),"",数据源!AC94)</f>
        <v/>
      </c>
      <c r="T69" s="2" t="str">
        <f>IF(ISBLANK(数据源!AE94),"",数据源!AE94)</f>
        <v/>
      </c>
      <c r="AW69" s="1" t="str">
        <f>IF(数据源!K94="外检","#","")</f>
        <v/>
      </c>
      <c r="AX69" s="2" t="str">
        <f>IF(ISBLANK(数据源!Q94),"",数据源!Q94)</f>
        <v/>
      </c>
      <c r="AY69" s="2" t="str">
        <f>IF(ISBLANK(数据源!R94),"",数据源!R94)</f>
        <v/>
      </c>
      <c r="AZ69" s="2" t="str">
        <f>IF(LEN(数据源!P94)=0,IF(LEN(数据源!D94)=0,"",数据源!D94),数据源!P94)</f>
        <v/>
      </c>
      <c r="BA69" s="2"/>
      <c r="BB69" s="2" t="str">
        <f>IF(ISBLANK(数据源!E94),"",数据源!E94)</f>
        <v/>
      </c>
      <c r="BC69" s="2" t="str">
        <f>IF(ISBLANK(数据源!G94),"",IF(数据源!G94="A","Qualified","Unqualified"))</f>
        <v/>
      </c>
      <c r="BD69" s="2" t="str">
        <f>IF(ISBLANK(数据源!S94),"",数据源!S94)</f>
        <v/>
      </c>
      <c r="BE69" s="2" t="str">
        <f>IF(ISBLANK(数据源!J94),"",数据源!J94)</f>
        <v/>
      </c>
      <c r="BF69" s="2" t="str">
        <f>IF(ISBLANK(数据源!L94),"",数据源!L94)</f>
        <v/>
      </c>
      <c r="BG69" s="1" t="str">
        <f>IF(数据源!AD94="外检","#","")</f>
        <v/>
      </c>
      <c r="BH69" s="2" t="str">
        <f>IF(ISBLANK(数据源!AJ94),"",数据源!AJ94)</f>
        <v/>
      </c>
      <c r="BI69" s="2" t="str">
        <f>IF(ISBLANK(数据源!AK94),"",数据源!AK94)</f>
        <v/>
      </c>
      <c r="BJ69" s="2" t="str">
        <f>IF(LEN(数据源!AI94)=0,IF(LEN(数据源!W94)=0,"",数据源!W94),数据源!AI94)</f>
        <v/>
      </c>
      <c r="BK69" s="1"/>
      <c r="BL69" s="2" t="str">
        <f>IF(ISBLANK(数据源!X94),"",数据源!X94)</f>
        <v/>
      </c>
      <c r="BM69" s="2" t="str">
        <f>IF(ISBLANK(数据源!Z94),"",IF(数据源!Z94="A","Qualified","Unqualified"))</f>
        <v/>
      </c>
      <c r="BN69" s="2" t="str">
        <f>IF(ISBLANK(数据源!AL94),"",数据源!AL94)</f>
        <v/>
      </c>
      <c r="BO69" s="2" t="str">
        <f>IF(ISBLANK(数据源!AC94),"",数据源!AC94)</f>
        <v/>
      </c>
      <c r="BP69" s="2" t="str">
        <f>IF(ISBLANK(数据源!AE94),"",数据源!AE94)</f>
        <v/>
      </c>
      <c r="CP69" s="86" t="str">
        <f>IF(ISBLANK(数据源!AW94),"",数据源!AW94)</f>
        <v/>
      </c>
      <c r="CQ69" s="86"/>
      <c r="CR69" s="86" t="str">
        <f>IF(ISBLANK(数据源!AX94),"",数据源!AX94)</f>
        <v/>
      </c>
      <c r="CS69" s="86" t="str">
        <f>IF(ISBLANK(数据源!AV94),"",数据源!AV94)</f>
        <v/>
      </c>
      <c r="CT69" s="86"/>
      <c r="CU69" s="87" t="s">
        <v>168</v>
      </c>
      <c r="CV69" s="86"/>
      <c r="CW69" s="86" t="str">
        <f>IF(ISBLANK(数据源!AU94),"",数据源!AU94)</f>
        <v/>
      </c>
      <c r="DA69" s="97">
        <f>IF(数据源!L94&lt;&gt;"QA",0,数据源!O94)</f>
        <v>0</v>
      </c>
      <c r="DB69" s="97">
        <f>数据源!M94</f>
        <v>0</v>
      </c>
      <c r="DC69" s="97">
        <f>数据源!N94</f>
        <v>0</v>
      </c>
      <c r="DD69" s="97">
        <f>IF(数据源!L94&lt;&gt;"QC",0,数据源!O94)</f>
        <v>0</v>
      </c>
    </row>
    <row r="70" spans="1:108">
      <c r="A70" s="1" t="str">
        <f>IF(数据源!K95="外检","#","")</f>
        <v/>
      </c>
      <c r="B70" s="2" t="str">
        <f>IF(ISBLANK(数据源!B95),"",数据源!B95)</f>
        <v/>
      </c>
      <c r="C70" s="2" t="str">
        <f>IF(ISBLANK(数据源!C95),"",IF(数据源!C95="/",数据源!F95,数据源!C95))</f>
        <v/>
      </c>
      <c r="D70" s="2" t="str">
        <f>IF(LEN(数据源!P95)=0,IF(LEN(数据源!D95)=0,"",数据源!D95),数据源!P95)</f>
        <v/>
      </c>
      <c r="E70" s="2"/>
      <c r="F70" s="2" t="str">
        <f>IF(ISBLANK(数据源!E95),"",数据源!E95)</f>
        <v/>
      </c>
      <c r="G70" s="2" t="str">
        <f>IF(ISBLANK(数据源!G95),"",IF(数据源!G95="A","合格","不合格"))</f>
        <v/>
      </c>
      <c r="H70" s="2" t="str">
        <f>IF(ISBLANK(数据源!H95),"",数据源!H95)</f>
        <v/>
      </c>
      <c r="I70" s="2" t="str">
        <f>IF(ISBLANK(数据源!J95),"",数据源!J95)</f>
        <v/>
      </c>
      <c r="J70" s="2" t="str">
        <f>IF(ISBLANK(数据源!L95),"",数据源!L95)</f>
        <v/>
      </c>
      <c r="K70" s="1" t="str">
        <f>IF(数据源!AD95="外检","#","")</f>
        <v/>
      </c>
      <c r="L70" s="2" t="str">
        <f>IF(ISBLANK(数据源!U95),"",数据源!U95)</f>
        <v/>
      </c>
      <c r="M70" s="2" t="str">
        <f>IF(ISBLANK(数据源!V95),"",IF(数据源!V95="/",数据源!Y95,数据源!V95))</f>
        <v/>
      </c>
      <c r="N70" s="2" t="str">
        <f>IF(LEN(数据源!AI95)=0,IF(LEN(数据源!W95)=0,"",数据源!W95),数据源!AI95)</f>
        <v/>
      </c>
      <c r="O70" s="1"/>
      <c r="P70" s="2" t="str">
        <f>IF(ISBLANK(数据源!X95),"",数据源!X95)</f>
        <v/>
      </c>
      <c r="Q70" s="2" t="str">
        <f>IF(ISBLANK(数据源!Z95),"",IF(数据源!Z95="A","合格","不合格"))</f>
        <v/>
      </c>
      <c r="R70" s="2" t="str">
        <f>IF(ISBLANK(数据源!AA95),"",数据源!AA95)</f>
        <v/>
      </c>
      <c r="S70" s="2" t="str">
        <f>IF(ISBLANK(数据源!AC95),"",数据源!AC95)</f>
        <v/>
      </c>
      <c r="T70" s="2" t="str">
        <f>IF(ISBLANK(数据源!AE95),"",数据源!AE95)</f>
        <v/>
      </c>
      <c r="AW70" s="1" t="str">
        <f>IF(数据源!K95="外检","#","")</f>
        <v/>
      </c>
      <c r="AX70" s="2" t="str">
        <f>IF(ISBLANK(数据源!Q95),"",数据源!Q95)</f>
        <v/>
      </c>
      <c r="AY70" s="2" t="str">
        <f>IF(ISBLANK(数据源!R95),"",数据源!R95)</f>
        <v/>
      </c>
      <c r="AZ70" s="2" t="str">
        <f>IF(LEN(数据源!P95)=0,IF(LEN(数据源!D95)=0,"",数据源!D95),数据源!P95)</f>
        <v/>
      </c>
      <c r="BA70" s="2"/>
      <c r="BB70" s="2" t="str">
        <f>IF(ISBLANK(数据源!E95),"",数据源!E95)</f>
        <v/>
      </c>
      <c r="BC70" s="2" t="str">
        <f>IF(ISBLANK(数据源!G95),"",IF(数据源!G95="A","Qualified","Unqualified"))</f>
        <v/>
      </c>
      <c r="BD70" s="2" t="str">
        <f>IF(ISBLANK(数据源!S95),"",数据源!S95)</f>
        <v/>
      </c>
      <c r="BE70" s="2" t="str">
        <f>IF(ISBLANK(数据源!J95),"",数据源!J95)</f>
        <v/>
      </c>
      <c r="BF70" s="2" t="str">
        <f>IF(ISBLANK(数据源!L95),"",数据源!L95)</f>
        <v/>
      </c>
      <c r="BG70" s="1" t="str">
        <f>IF(数据源!AD95="外检","#","")</f>
        <v/>
      </c>
      <c r="BH70" s="2" t="str">
        <f>IF(ISBLANK(数据源!AJ95),"",数据源!AJ95)</f>
        <v/>
      </c>
      <c r="BI70" s="2" t="str">
        <f>IF(ISBLANK(数据源!AK95),"",数据源!AK95)</f>
        <v/>
      </c>
      <c r="BJ70" s="2" t="str">
        <f>IF(LEN(数据源!AI95)=0,IF(LEN(数据源!W95)=0,"",数据源!W95),数据源!AI95)</f>
        <v/>
      </c>
      <c r="BK70" s="1"/>
      <c r="BL70" s="2" t="str">
        <f>IF(ISBLANK(数据源!X95),"",数据源!X95)</f>
        <v/>
      </c>
      <c r="BM70" s="2" t="str">
        <f>IF(ISBLANK(数据源!Z95),"",IF(数据源!Z95="A","Qualified","Unqualified"))</f>
        <v/>
      </c>
      <c r="BN70" s="2" t="str">
        <f>IF(ISBLANK(数据源!AL95),"",数据源!AL95)</f>
        <v/>
      </c>
      <c r="BO70" s="2" t="str">
        <f>IF(ISBLANK(数据源!AC95),"",数据源!AC95)</f>
        <v/>
      </c>
      <c r="BP70" s="2" t="str">
        <f>IF(ISBLANK(数据源!AE95),"",数据源!AE95)</f>
        <v/>
      </c>
      <c r="CP70" s="86" t="str">
        <f>IF(ISBLANK(数据源!AW95),"",数据源!AW95)</f>
        <v/>
      </c>
      <c r="CQ70" s="86"/>
      <c r="CR70" s="86" t="str">
        <f>IF(ISBLANK(数据源!AX95),"",数据源!AX95)</f>
        <v/>
      </c>
      <c r="CS70" s="86" t="str">
        <f>IF(ISBLANK(数据源!AV95),"",数据源!AV95)</f>
        <v/>
      </c>
      <c r="CT70" s="86"/>
      <c r="CU70" s="87" t="s">
        <v>168</v>
      </c>
      <c r="CV70" s="86"/>
      <c r="CW70" s="86" t="str">
        <f>IF(ISBLANK(数据源!AU95),"",数据源!AU95)</f>
        <v/>
      </c>
      <c r="DA70" s="97">
        <f>IF(数据源!L95&lt;&gt;"QA",0,数据源!O95)</f>
        <v>0</v>
      </c>
      <c r="DB70" s="97">
        <f>数据源!M95</f>
        <v>0</v>
      </c>
      <c r="DC70" s="97">
        <f>数据源!N95</f>
        <v>0</v>
      </c>
      <c r="DD70" s="97">
        <f>IF(数据源!L95&lt;&gt;"QC",0,数据源!O95)</f>
        <v>0</v>
      </c>
    </row>
    <row r="71" spans="1:108">
      <c r="A71" s="1" t="str">
        <f>IF(数据源!K96="外检","#","")</f>
        <v/>
      </c>
      <c r="B71" s="2" t="str">
        <f>IF(ISBLANK(数据源!B96),"",数据源!B96)</f>
        <v/>
      </c>
      <c r="C71" s="2" t="str">
        <f>IF(ISBLANK(数据源!C96),"",IF(数据源!C96="/",数据源!F96,数据源!C96))</f>
        <v/>
      </c>
      <c r="D71" s="2" t="str">
        <f>IF(LEN(数据源!P96)=0,IF(LEN(数据源!D96)=0,"",数据源!D96),数据源!P96)</f>
        <v/>
      </c>
      <c r="E71" s="2"/>
      <c r="F71" s="2" t="str">
        <f>IF(ISBLANK(数据源!E96),"",数据源!E96)</f>
        <v/>
      </c>
      <c r="G71" s="2" t="str">
        <f>IF(ISBLANK(数据源!G96),"",IF(数据源!G96="A","合格","不合格"))</f>
        <v/>
      </c>
      <c r="H71" s="2" t="str">
        <f>IF(ISBLANK(数据源!H96),"",数据源!H96)</f>
        <v/>
      </c>
      <c r="I71" s="2" t="str">
        <f>IF(ISBLANK(数据源!J96),"",数据源!J96)</f>
        <v/>
      </c>
      <c r="J71" s="2" t="str">
        <f>IF(ISBLANK(数据源!L96),"",数据源!L96)</f>
        <v/>
      </c>
      <c r="K71" s="1" t="str">
        <f>IF(数据源!AD96="外检","#","")</f>
        <v/>
      </c>
      <c r="L71" s="2" t="str">
        <f>IF(ISBLANK(数据源!U96),"",数据源!U96)</f>
        <v/>
      </c>
      <c r="M71" s="2" t="str">
        <f>IF(ISBLANK(数据源!V96),"",IF(数据源!V96="/",数据源!Y96,数据源!V96))</f>
        <v/>
      </c>
      <c r="N71" s="2" t="str">
        <f>IF(LEN(数据源!AI96)=0,IF(LEN(数据源!W96)=0,"",数据源!W96),数据源!AI96)</f>
        <v/>
      </c>
      <c r="O71" s="1"/>
      <c r="P71" s="2" t="str">
        <f>IF(ISBLANK(数据源!X96),"",数据源!X96)</f>
        <v/>
      </c>
      <c r="Q71" s="2" t="str">
        <f>IF(ISBLANK(数据源!Z96),"",IF(数据源!Z96="A","合格","不合格"))</f>
        <v/>
      </c>
      <c r="R71" s="2" t="str">
        <f>IF(ISBLANK(数据源!AA96),"",数据源!AA96)</f>
        <v/>
      </c>
      <c r="S71" s="2" t="str">
        <f>IF(ISBLANK(数据源!AC96),"",数据源!AC96)</f>
        <v/>
      </c>
      <c r="T71" s="2" t="str">
        <f>IF(ISBLANK(数据源!AE96),"",数据源!AE96)</f>
        <v/>
      </c>
      <c r="AW71" s="1" t="str">
        <f>IF(数据源!K96="外检","#","")</f>
        <v/>
      </c>
      <c r="AX71" s="2" t="str">
        <f>IF(ISBLANK(数据源!Q96),"",数据源!Q96)</f>
        <v/>
      </c>
      <c r="AY71" s="2" t="str">
        <f>IF(ISBLANK(数据源!R96),"",数据源!R96)</f>
        <v/>
      </c>
      <c r="AZ71" s="2" t="str">
        <f>IF(LEN(数据源!P96)=0,IF(LEN(数据源!D96)=0,"",数据源!D96),数据源!P96)</f>
        <v/>
      </c>
      <c r="BA71" s="2"/>
      <c r="BB71" s="2" t="str">
        <f>IF(ISBLANK(数据源!E96),"",数据源!E96)</f>
        <v/>
      </c>
      <c r="BC71" s="2" t="str">
        <f>IF(ISBLANK(数据源!G96),"",IF(数据源!G96="A","Qualified","Unqualified"))</f>
        <v/>
      </c>
      <c r="BD71" s="2" t="str">
        <f>IF(ISBLANK(数据源!S96),"",数据源!S96)</f>
        <v/>
      </c>
      <c r="BE71" s="2" t="str">
        <f>IF(ISBLANK(数据源!J96),"",数据源!J96)</f>
        <v/>
      </c>
      <c r="BF71" s="2" t="str">
        <f>IF(ISBLANK(数据源!L96),"",数据源!L96)</f>
        <v/>
      </c>
      <c r="BG71" s="1" t="str">
        <f>IF(数据源!AD96="外检","#","")</f>
        <v/>
      </c>
      <c r="BH71" s="2" t="str">
        <f>IF(ISBLANK(数据源!AJ96),"",数据源!AJ96)</f>
        <v/>
      </c>
      <c r="BI71" s="2" t="str">
        <f>IF(ISBLANK(数据源!AK96),"",数据源!AK96)</f>
        <v/>
      </c>
      <c r="BJ71" s="2" t="str">
        <f>IF(LEN(数据源!AI96)=0,IF(LEN(数据源!W96)=0,"",数据源!W96),数据源!AI96)</f>
        <v/>
      </c>
      <c r="BK71" s="1"/>
      <c r="BL71" s="2" t="str">
        <f>IF(ISBLANK(数据源!X96),"",数据源!X96)</f>
        <v/>
      </c>
      <c r="BM71" s="2" t="str">
        <f>IF(ISBLANK(数据源!Z96),"",IF(数据源!Z96="A","Qualified","Unqualified"))</f>
        <v/>
      </c>
      <c r="BN71" s="2" t="str">
        <f>IF(ISBLANK(数据源!AL96),"",数据源!AL96)</f>
        <v/>
      </c>
      <c r="BO71" s="2" t="str">
        <f>IF(ISBLANK(数据源!AC96),"",数据源!AC96)</f>
        <v/>
      </c>
      <c r="BP71" s="2" t="str">
        <f>IF(ISBLANK(数据源!AE96),"",数据源!AE96)</f>
        <v/>
      </c>
      <c r="CP71" s="86" t="str">
        <f>IF(ISBLANK(数据源!AW96),"",数据源!AW96)</f>
        <v/>
      </c>
      <c r="CQ71" s="86"/>
      <c r="CR71" s="86" t="str">
        <f>IF(ISBLANK(数据源!AX96),"",数据源!AX96)</f>
        <v/>
      </c>
      <c r="CS71" s="86" t="str">
        <f>IF(ISBLANK(数据源!AV96),"",数据源!AV96)</f>
        <v/>
      </c>
      <c r="CT71" s="86"/>
      <c r="CU71" s="87" t="s">
        <v>168</v>
      </c>
      <c r="CV71" s="86"/>
      <c r="CW71" s="86" t="str">
        <f>IF(ISBLANK(数据源!AU96),"",数据源!AU96)</f>
        <v/>
      </c>
      <c r="DA71" s="97">
        <f>IF(数据源!L96&lt;&gt;"QA",0,数据源!O96)</f>
        <v>0</v>
      </c>
      <c r="DB71" s="97">
        <f>数据源!M96</f>
        <v>0</v>
      </c>
      <c r="DC71" s="97">
        <f>数据源!N96</f>
        <v>0</v>
      </c>
      <c r="DD71" s="97">
        <f>IF(数据源!L96&lt;&gt;"QC",0,数据源!O96)</f>
        <v>0</v>
      </c>
    </row>
    <row r="72" spans="1:108">
      <c r="A72" s="1" t="str">
        <f>IF(数据源!K97="外检","#","")</f>
        <v/>
      </c>
      <c r="B72" s="2" t="str">
        <f>IF(ISBLANK(数据源!B97),"",数据源!B97)</f>
        <v/>
      </c>
      <c r="C72" s="2" t="str">
        <f>IF(ISBLANK(数据源!C97),"",IF(数据源!C97="/",数据源!F97,数据源!C97))</f>
        <v/>
      </c>
      <c r="D72" s="2" t="str">
        <f>IF(LEN(数据源!P97)=0,IF(LEN(数据源!D97)=0,"",数据源!D97),数据源!P97)</f>
        <v/>
      </c>
      <c r="E72" s="2"/>
      <c r="F72" s="2" t="str">
        <f>IF(ISBLANK(数据源!E97),"",数据源!E97)</f>
        <v/>
      </c>
      <c r="G72" s="2" t="str">
        <f>IF(ISBLANK(数据源!G97),"",IF(数据源!G97="A","合格","不合格"))</f>
        <v/>
      </c>
      <c r="H72" s="2" t="str">
        <f>IF(ISBLANK(数据源!H97),"",数据源!H97)</f>
        <v/>
      </c>
      <c r="I72" s="2" t="str">
        <f>IF(ISBLANK(数据源!J97),"",数据源!J97)</f>
        <v/>
      </c>
      <c r="J72" s="2" t="str">
        <f>IF(ISBLANK(数据源!L97),"",数据源!L97)</f>
        <v/>
      </c>
      <c r="K72" s="1" t="str">
        <f>IF(数据源!AD97="外检","#","")</f>
        <v/>
      </c>
      <c r="L72" s="2" t="str">
        <f>IF(ISBLANK(数据源!U97),"",数据源!U97)</f>
        <v/>
      </c>
      <c r="M72" s="2" t="str">
        <f>IF(ISBLANK(数据源!V97),"",IF(数据源!V97="/",数据源!Y97,数据源!V97))</f>
        <v/>
      </c>
      <c r="N72" s="2" t="str">
        <f>IF(LEN(数据源!AI97)=0,IF(LEN(数据源!W97)=0,"",数据源!W97),数据源!AI97)</f>
        <v/>
      </c>
      <c r="O72" s="1"/>
      <c r="P72" s="2" t="str">
        <f>IF(ISBLANK(数据源!X97),"",数据源!X97)</f>
        <v/>
      </c>
      <c r="Q72" s="2" t="str">
        <f>IF(ISBLANK(数据源!Z97),"",IF(数据源!Z97="A","合格","不合格"))</f>
        <v/>
      </c>
      <c r="R72" s="2" t="str">
        <f>IF(ISBLANK(数据源!AA97),"",数据源!AA97)</f>
        <v/>
      </c>
      <c r="S72" s="2" t="str">
        <f>IF(ISBLANK(数据源!AC97),"",数据源!AC97)</f>
        <v/>
      </c>
      <c r="T72" s="2" t="str">
        <f>IF(ISBLANK(数据源!AE97),"",数据源!AE97)</f>
        <v/>
      </c>
      <c r="AW72" s="1" t="str">
        <f>IF(数据源!K97="外检","#","")</f>
        <v/>
      </c>
      <c r="AX72" s="2" t="str">
        <f>IF(ISBLANK(数据源!Q97),"",数据源!Q97)</f>
        <v/>
      </c>
      <c r="AY72" s="2" t="str">
        <f>IF(ISBLANK(数据源!R97),"",数据源!R97)</f>
        <v/>
      </c>
      <c r="AZ72" s="2" t="str">
        <f>IF(LEN(数据源!P97)=0,IF(LEN(数据源!D97)=0,"",数据源!D97),数据源!P97)</f>
        <v/>
      </c>
      <c r="BA72" s="2"/>
      <c r="BB72" s="2" t="str">
        <f>IF(ISBLANK(数据源!E97),"",数据源!E97)</f>
        <v/>
      </c>
      <c r="BC72" s="2" t="str">
        <f>IF(ISBLANK(数据源!G97),"",IF(数据源!G97="A","Qualified","Unqualified"))</f>
        <v/>
      </c>
      <c r="BD72" s="2" t="str">
        <f>IF(ISBLANK(数据源!S97),"",数据源!S97)</f>
        <v/>
      </c>
      <c r="BE72" s="2" t="str">
        <f>IF(ISBLANK(数据源!J97),"",数据源!J97)</f>
        <v/>
      </c>
      <c r="BF72" s="2" t="str">
        <f>IF(ISBLANK(数据源!L97),"",数据源!L97)</f>
        <v/>
      </c>
      <c r="BG72" s="1" t="str">
        <f>IF(数据源!AD97="外检","#","")</f>
        <v/>
      </c>
      <c r="BH72" s="2" t="str">
        <f>IF(ISBLANK(数据源!AJ97),"",数据源!AJ97)</f>
        <v/>
      </c>
      <c r="BI72" s="2" t="str">
        <f>IF(ISBLANK(数据源!AK97),"",数据源!AK97)</f>
        <v/>
      </c>
      <c r="BJ72" s="2" t="str">
        <f>IF(LEN(数据源!AI97)=0,IF(LEN(数据源!W97)=0,"",数据源!W97),数据源!AI97)</f>
        <v/>
      </c>
      <c r="BK72" s="1"/>
      <c r="BL72" s="2" t="str">
        <f>IF(ISBLANK(数据源!X97),"",数据源!X97)</f>
        <v/>
      </c>
      <c r="BM72" s="2" t="str">
        <f>IF(ISBLANK(数据源!Z97),"",IF(数据源!Z97="A","Qualified","Unqualified"))</f>
        <v/>
      </c>
      <c r="BN72" s="2" t="str">
        <f>IF(ISBLANK(数据源!AL97),"",数据源!AL97)</f>
        <v/>
      </c>
      <c r="BO72" s="2" t="str">
        <f>IF(ISBLANK(数据源!AC97),"",数据源!AC97)</f>
        <v/>
      </c>
      <c r="BP72" s="2" t="str">
        <f>IF(ISBLANK(数据源!AE97),"",数据源!AE97)</f>
        <v/>
      </c>
      <c r="CP72" s="86" t="str">
        <f>IF(ISBLANK(数据源!AW97),"",数据源!AW97)</f>
        <v/>
      </c>
      <c r="CQ72" s="86"/>
      <c r="CR72" s="86" t="str">
        <f>IF(ISBLANK(数据源!AX97),"",数据源!AX97)</f>
        <v/>
      </c>
      <c r="CS72" s="86" t="str">
        <f>IF(ISBLANK(数据源!AV97),"",数据源!AV97)</f>
        <v/>
      </c>
      <c r="CT72" s="86"/>
      <c r="CU72" s="87" t="s">
        <v>168</v>
      </c>
      <c r="CV72" s="86"/>
      <c r="CW72" s="86" t="str">
        <f>IF(ISBLANK(数据源!AU97),"",数据源!AU97)</f>
        <v/>
      </c>
      <c r="DA72" s="97">
        <f>IF(数据源!L97&lt;&gt;"QA",0,数据源!O97)</f>
        <v>0</v>
      </c>
      <c r="DB72" s="97">
        <f>数据源!M97</f>
        <v>0</v>
      </c>
      <c r="DC72" s="97">
        <f>数据源!N97</f>
        <v>0</v>
      </c>
      <c r="DD72" s="97">
        <f>IF(数据源!L97&lt;&gt;"QC",0,数据源!O97)</f>
        <v>0</v>
      </c>
    </row>
    <row r="73" spans="1:108">
      <c r="A73" s="1" t="str">
        <f>IF(数据源!K98="外检","#","")</f>
        <v/>
      </c>
      <c r="B73" s="2" t="str">
        <f>IF(ISBLANK(数据源!B98),"",数据源!B98)</f>
        <v/>
      </c>
      <c r="C73" s="2" t="str">
        <f>IF(ISBLANK(数据源!C98),"",IF(数据源!C98="/",数据源!F98,数据源!C98))</f>
        <v/>
      </c>
      <c r="D73" s="2" t="str">
        <f>IF(LEN(数据源!P98)=0,IF(LEN(数据源!D98)=0,"",数据源!D98),数据源!P98)</f>
        <v/>
      </c>
      <c r="E73" s="2"/>
      <c r="F73" s="2" t="str">
        <f>IF(ISBLANK(数据源!E98),"",数据源!E98)</f>
        <v/>
      </c>
      <c r="G73" s="2" t="str">
        <f>IF(ISBLANK(数据源!G98),"",IF(数据源!G98="A","合格","不合格"))</f>
        <v/>
      </c>
      <c r="H73" s="2" t="str">
        <f>IF(ISBLANK(数据源!H98),"",数据源!H98)</f>
        <v/>
      </c>
      <c r="I73" s="2" t="str">
        <f>IF(ISBLANK(数据源!J98),"",数据源!J98)</f>
        <v/>
      </c>
      <c r="J73" s="2" t="str">
        <f>IF(ISBLANK(数据源!L98),"",数据源!L98)</f>
        <v/>
      </c>
      <c r="K73" s="1" t="str">
        <f>IF(数据源!AD98="外检","#","")</f>
        <v/>
      </c>
      <c r="L73" s="2" t="str">
        <f>IF(ISBLANK(数据源!U98),"",数据源!U98)</f>
        <v/>
      </c>
      <c r="M73" s="2" t="str">
        <f>IF(ISBLANK(数据源!V98),"",IF(数据源!V98="/",数据源!Y98,数据源!V98))</f>
        <v/>
      </c>
      <c r="N73" s="2" t="str">
        <f>IF(LEN(数据源!AI98)=0,IF(LEN(数据源!W98)=0,"",数据源!W98),数据源!AI98)</f>
        <v/>
      </c>
      <c r="O73" s="1"/>
      <c r="P73" s="2" t="str">
        <f>IF(ISBLANK(数据源!X98),"",数据源!X98)</f>
        <v/>
      </c>
      <c r="Q73" s="2" t="str">
        <f>IF(ISBLANK(数据源!Z98),"",IF(数据源!Z98="A","合格","不合格"))</f>
        <v/>
      </c>
      <c r="R73" s="2" t="str">
        <f>IF(ISBLANK(数据源!AA98),"",数据源!AA98)</f>
        <v/>
      </c>
      <c r="S73" s="2" t="str">
        <f>IF(ISBLANK(数据源!AC98),"",数据源!AC98)</f>
        <v/>
      </c>
      <c r="T73" s="2" t="str">
        <f>IF(ISBLANK(数据源!AE98),"",数据源!AE98)</f>
        <v/>
      </c>
      <c r="AW73" s="1" t="str">
        <f>IF(数据源!K98="外检","#","")</f>
        <v/>
      </c>
      <c r="AX73" s="2" t="str">
        <f>IF(ISBLANK(数据源!Q98),"",数据源!Q98)</f>
        <v/>
      </c>
      <c r="AY73" s="2" t="str">
        <f>IF(ISBLANK(数据源!R98),"",数据源!R98)</f>
        <v/>
      </c>
      <c r="AZ73" s="2" t="str">
        <f>IF(LEN(数据源!P98)=0,IF(LEN(数据源!D98)=0,"",数据源!D98),数据源!P98)</f>
        <v/>
      </c>
      <c r="BA73" s="2"/>
      <c r="BB73" s="2" t="str">
        <f>IF(ISBLANK(数据源!E98),"",数据源!E98)</f>
        <v/>
      </c>
      <c r="BC73" s="2" t="str">
        <f>IF(ISBLANK(数据源!G98),"",IF(数据源!G98="A","Qualified","Unqualified"))</f>
        <v/>
      </c>
      <c r="BD73" s="2" t="str">
        <f>IF(ISBLANK(数据源!S98),"",数据源!S98)</f>
        <v/>
      </c>
      <c r="BE73" s="2" t="str">
        <f>IF(ISBLANK(数据源!J98),"",数据源!J98)</f>
        <v/>
      </c>
      <c r="BF73" s="2" t="str">
        <f>IF(ISBLANK(数据源!L98),"",数据源!L98)</f>
        <v/>
      </c>
      <c r="BG73" s="1" t="str">
        <f>IF(数据源!AD98="外检","#","")</f>
        <v/>
      </c>
      <c r="BH73" s="2" t="str">
        <f>IF(ISBLANK(数据源!AJ98),"",数据源!AJ98)</f>
        <v/>
      </c>
      <c r="BI73" s="2" t="str">
        <f>IF(ISBLANK(数据源!AK98),"",数据源!AK98)</f>
        <v/>
      </c>
      <c r="BJ73" s="2" t="str">
        <f>IF(LEN(数据源!AI98)=0,IF(LEN(数据源!W98)=0,"",数据源!W98),数据源!AI98)</f>
        <v/>
      </c>
      <c r="BK73" s="1"/>
      <c r="BL73" s="2" t="str">
        <f>IF(ISBLANK(数据源!X98),"",数据源!X98)</f>
        <v/>
      </c>
      <c r="BM73" s="2" t="str">
        <f>IF(ISBLANK(数据源!Z98),"",IF(数据源!Z98="A","Qualified","Unqualified"))</f>
        <v/>
      </c>
      <c r="BN73" s="2" t="str">
        <f>IF(ISBLANK(数据源!AL98),"",数据源!AL98)</f>
        <v/>
      </c>
      <c r="BO73" s="2" t="str">
        <f>IF(ISBLANK(数据源!AC98),"",数据源!AC98)</f>
        <v/>
      </c>
      <c r="BP73" s="2" t="str">
        <f>IF(ISBLANK(数据源!AE98),"",数据源!AE98)</f>
        <v/>
      </c>
      <c r="CP73" s="86" t="str">
        <f>IF(ISBLANK(数据源!AW98),"",数据源!AW98)</f>
        <v/>
      </c>
      <c r="CQ73" s="86"/>
      <c r="CR73" s="86" t="str">
        <f>IF(ISBLANK(数据源!AX98),"",数据源!AX98)</f>
        <v/>
      </c>
      <c r="CS73" s="86" t="str">
        <f>IF(ISBLANK(数据源!AV98),"",数据源!AV98)</f>
        <v/>
      </c>
      <c r="CT73" s="86"/>
      <c r="CU73" s="87" t="s">
        <v>168</v>
      </c>
      <c r="CV73" s="86"/>
      <c r="CW73" s="86" t="str">
        <f>IF(ISBLANK(数据源!AU98),"",数据源!AU98)</f>
        <v/>
      </c>
      <c r="DA73" s="97">
        <f>IF(数据源!L98&lt;&gt;"QA",0,数据源!O98)</f>
        <v>0</v>
      </c>
      <c r="DB73" s="97">
        <f>数据源!M98</f>
        <v>0</v>
      </c>
      <c r="DC73" s="97">
        <f>数据源!N98</f>
        <v>0</v>
      </c>
      <c r="DD73" s="97">
        <f>IF(数据源!L98&lt;&gt;"QC",0,数据源!O98)</f>
        <v>0</v>
      </c>
    </row>
    <row r="74" spans="1:108">
      <c r="A74" s="1" t="str">
        <f>IF(数据源!K99="外检","#","")</f>
        <v/>
      </c>
      <c r="B74" s="2" t="str">
        <f>IF(ISBLANK(数据源!B99),"",数据源!B99)</f>
        <v/>
      </c>
      <c r="C74" s="2" t="str">
        <f>IF(ISBLANK(数据源!C99),"",IF(数据源!C99="/",数据源!F99,数据源!C99))</f>
        <v/>
      </c>
      <c r="D74" s="2" t="str">
        <f>IF(LEN(数据源!P99)=0,IF(LEN(数据源!D99)=0,"",数据源!D99),数据源!P99)</f>
        <v/>
      </c>
      <c r="E74" s="2"/>
      <c r="F74" s="2" t="str">
        <f>IF(ISBLANK(数据源!E99),"",数据源!E99)</f>
        <v/>
      </c>
      <c r="G74" s="2" t="str">
        <f>IF(ISBLANK(数据源!G99),"",IF(数据源!G99="A","合格","不合格"))</f>
        <v/>
      </c>
      <c r="H74" s="2" t="str">
        <f>IF(ISBLANK(数据源!H99),"",数据源!H99)</f>
        <v/>
      </c>
      <c r="I74" s="2" t="str">
        <f>IF(ISBLANK(数据源!J99),"",数据源!J99)</f>
        <v/>
      </c>
      <c r="J74" s="2" t="str">
        <f>IF(ISBLANK(数据源!L99),"",数据源!L99)</f>
        <v/>
      </c>
      <c r="K74" s="1" t="str">
        <f>IF(数据源!AD99="外检","#","")</f>
        <v/>
      </c>
      <c r="L74" s="2" t="str">
        <f>IF(ISBLANK(数据源!U99),"",数据源!U99)</f>
        <v/>
      </c>
      <c r="M74" s="2" t="str">
        <f>IF(ISBLANK(数据源!V99),"",IF(数据源!V99="/",数据源!Y99,数据源!V99))</f>
        <v/>
      </c>
      <c r="N74" s="2" t="str">
        <f>IF(LEN(数据源!AI99)=0,IF(LEN(数据源!W99)=0,"",数据源!W99),数据源!AI99)</f>
        <v/>
      </c>
      <c r="O74" s="1"/>
      <c r="P74" s="2" t="str">
        <f>IF(ISBLANK(数据源!X99),"",数据源!X99)</f>
        <v/>
      </c>
      <c r="Q74" s="2" t="str">
        <f>IF(ISBLANK(数据源!Z99),"",IF(数据源!Z99="A","合格","不合格"))</f>
        <v/>
      </c>
      <c r="R74" s="2" t="str">
        <f>IF(ISBLANK(数据源!AA99),"",数据源!AA99)</f>
        <v/>
      </c>
      <c r="S74" s="2" t="str">
        <f>IF(ISBLANK(数据源!AC99),"",数据源!AC99)</f>
        <v/>
      </c>
      <c r="T74" s="2" t="str">
        <f>IF(ISBLANK(数据源!AE99),"",数据源!AE99)</f>
        <v/>
      </c>
      <c r="AW74" s="1" t="str">
        <f>IF(数据源!K99="外检","#","")</f>
        <v/>
      </c>
      <c r="AX74" s="2" t="str">
        <f>IF(ISBLANK(数据源!Q99),"",数据源!Q99)</f>
        <v/>
      </c>
      <c r="AY74" s="2" t="str">
        <f>IF(ISBLANK(数据源!R99),"",数据源!R99)</f>
        <v/>
      </c>
      <c r="AZ74" s="2" t="str">
        <f>IF(LEN(数据源!P99)=0,IF(LEN(数据源!D99)=0,"",数据源!D99),数据源!P99)</f>
        <v/>
      </c>
      <c r="BA74" s="2"/>
      <c r="BB74" s="2" t="str">
        <f>IF(ISBLANK(数据源!E99),"",数据源!E99)</f>
        <v/>
      </c>
      <c r="BC74" s="2" t="str">
        <f>IF(ISBLANK(数据源!G99),"",IF(数据源!G99="A","Qualified","Unqualified"))</f>
        <v/>
      </c>
      <c r="BD74" s="2" t="str">
        <f>IF(ISBLANK(数据源!S99),"",数据源!S99)</f>
        <v/>
      </c>
      <c r="BE74" s="2" t="str">
        <f>IF(ISBLANK(数据源!J99),"",数据源!J99)</f>
        <v/>
      </c>
      <c r="BF74" s="2" t="str">
        <f>IF(ISBLANK(数据源!L99),"",数据源!L99)</f>
        <v/>
      </c>
      <c r="BG74" s="1" t="str">
        <f>IF(数据源!AD99="外检","#","")</f>
        <v/>
      </c>
      <c r="BH74" s="2" t="str">
        <f>IF(ISBLANK(数据源!AJ99),"",数据源!AJ99)</f>
        <v/>
      </c>
      <c r="BI74" s="2" t="str">
        <f>IF(ISBLANK(数据源!AK99),"",数据源!AK99)</f>
        <v/>
      </c>
      <c r="BJ74" s="2" t="str">
        <f>IF(LEN(数据源!AI99)=0,IF(LEN(数据源!W99)=0,"",数据源!W99),数据源!AI99)</f>
        <v/>
      </c>
      <c r="BK74" s="1"/>
      <c r="BL74" s="2" t="str">
        <f>IF(ISBLANK(数据源!X99),"",数据源!X99)</f>
        <v/>
      </c>
      <c r="BM74" s="2" t="str">
        <f>IF(ISBLANK(数据源!Z99),"",IF(数据源!Z99="A","Qualified","Unqualified"))</f>
        <v/>
      </c>
      <c r="BN74" s="2" t="str">
        <f>IF(ISBLANK(数据源!AL99),"",数据源!AL99)</f>
        <v/>
      </c>
      <c r="BO74" s="2" t="str">
        <f>IF(ISBLANK(数据源!AC99),"",数据源!AC99)</f>
        <v/>
      </c>
      <c r="BP74" s="2" t="str">
        <f>IF(ISBLANK(数据源!AE99),"",数据源!AE99)</f>
        <v/>
      </c>
      <c r="CP74" s="86" t="str">
        <f>IF(ISBLANK(数据源!AW99),"",数据源!AW99)</f>
        <v/>
      </c>
      <c r="CQ74" s="86"/>
      <c r="CR74" s="86" t="str">
        <f>IF(ISBLANK(数据源!AX99),"",数据源!AX99)</f>
        <v/>
      </c>
      <c r="CS74" s="86" t="str">
        <f>IF(ISBLANK(数据源!AV99),"",数据源!AV99)</f>
        <v/>
      </c>
      <c r="CT74" s="86"/>
      <c r="CU74" s="87" t="s">
        <v>168</v>
      </c>
      <c r="CV74" s="86"/>
      <c r="CW74" s="86" t="str">
        <f>IF(ISBLANK(数据源!AU99),"",数据源!AU99)</f>
        <v/>
      </c>
      <c r="DA74" s="97">
        <f>IF(数据源!L99&lt;&gt;"QA",0,数据源!O99)</f>
        <v>0</v>
      </c>
      <c r="DB74" s="97">
        <f>数据源!M99</f>
        <v>0</v>
      </c>
      <c r="DC74" s="97">
        <f>数据源!N99</f>
        <v>0</v>
      </c>
      <c r="DD74" s="97">
        <f>IF(数据源!L99&lt;&gt;"QC",0,数据源!O99)</f>
        <v>0</v>
      </c>
    </row>
    <row r="75" spans="1:108">
      <c r="A75" s="1" t="str">
        <f>IF(数据源!K100="外检","#","")</f>
        <v/>
      </c>
      <c r="B75" s="2" t="str">
        <f>IF(ISBLANK(数据源!B100),"",数据源!B100)</f>
        <v/>
      </c>
      <c r="C75" s="2" t="str">
        <f>IF(ISBLANK(数据源!C100),"",IF(数据源!C100="/",数据源!F100,数据源!C100))</f>
        <v/>
      </c>
      <c r="D75" s="2" t="str">
        <f>IF(LEN(数据源!P100)=0,IF(LEN(数据源!D100)=0,"",数据源!D100),数据源!P100)</f>
        <v/>
      </c>
      <c r="E75" s="2"/>
      <c r="F75" s="2" t="str">
        <f>IF(ISBLANK(数据源!E100),"",数据源!E100)</f>
        <v/>
      </c>
      <c r="G75" s="2" t="str">
        <f>IF(ISBLANK(数据源!G100),"",IF(数据源!G100="A","合格","不合格"))</f>
        <v/>
      </c>
      <c r="H75" s="2" t="str">
        <f>IF(ISBLANK(数据源!H100),"",数据源!H100)</f>
        <v/>
      </c>
      <c r="I75" s="2" t="str">
        <f>IF(ISBLANK(数据源!J100),"",数据源!J100)</f>
        <v/>
      </c>
      <c r="J75" s="2" t="str">
        <f>IF(ISBLANK(数据源!L100),"",数据源!L100)</f>
        <v/>
      </c>
      <c r="K75" s="1" t="str">
        <f>IF(数据源!AD100="外检","#","")</f>
        <v/>
      </c>
      <c r="L75" s="2" t="str">
        <f>IF(ISBLANK(数据源!U100),"",数据源!U100)</f>
        <v/>
      </c>
      <c r="M75" s="2" t="str">
        <f>IF(ISBLANK(数据源!V100),"",IF(数据源!V100="/",数据源!Y100,数据源!V100))</f>
        <v/>
      </c>
      <c r="N75" s="2" t="str">
        <f>IF(LEN(数据源!AI100)=0,IF(LEN(数据源!W100)=0,"",数据源!W100),数据源!AI100)</f>
        <v/>
      </c>
      <c r="O75" s="1"/>
      <c r="P75" s="2" t="str">
        <f>IF(ISBLANK(数据源!X100),"",数据源!X100)</f>
        <v/>
      </c>
      <c r="Q75" s="2" t="str">
        <f>IF(ISBLANK(数据源!Z100),"",IF(数据源!Z100="A","合格","不合格"))</f>
        <v/>
      </c>
      <c r="R75" s="2" t="str">
        <f>IF(ISBLANK(数据源!AA100),"",数据源!AA100)</f>
        <v/>
      </c>
      <c r="S75" s="2" t="str">
        <f>IF(ISBLANK(数据源!AC100),"",数据源!AC100)</f>
        <v/>
      </c>
      <c r="T75" s="2" t="str">
        <f>IF(ISBLANK(数据源!AE100),"",数据源!AE100)</f>
        <v/>
      </c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W75" s="1" t="str">
        <f>IF(数据源!K100="外检","#","")</f>
        <v/>
      </c>
      <c r="AX75" s="2" t="str">
        <f>IF(ISBLANK(数据源!Q100),"",数据源!Q100)</f>
        <v/>
      </c>
      <c r="AY75" s="2" t="str">
        <f>IF(ISBLANK(数据源!R100),"",数据源!R100)</f>
        <v/>
      </c>
      <c r="AZ75" s="2" t="str">
        <f>IF(LEN(数据源!P100)=0,IF(LEN(数据源!D100)=0,"",数据源!D100),数据源!P100)</f>
        <v/>
      </c>
      <c r="BA75" s="2"/>
      <c r="BB75" s="2" t="str">
        <f>IF(ISBLANK(数据源!E100),"",数据源!E100)</f>
        <v/>
      </c>
      <c r="BC75" s="2" t="str">
        <f>IF(ISBLANK(数据源!G100),"",IF(数据源!G100="A","Qualified","Unqualified"))</f>
        <v/>
      </c>
      <c r="BD75" s="2" t="str">
        <f>IF(ISBLANK(数据源!S100),"",数据源!S100)</f>
        <v/>
      </c>
      <c r="BE75" s="2" t="str">
        <f>IF(ISBLANK(数据源!J100),"",数据源!J100)</f>
        <v/>
      </c>
      <c r="BF75" s="2" t="str">
        <f>IF(ISBLANK(数据源!L100),"",数据源!L100)</f>
        <v/>
      </c>
      <c r="BG75" s="1" t="str">
        <f>IF(数据源!AD100="外检","#","")</f>
        <v/>
      </c>
      <c r="BH75" s="2" t="str">
        <f>IF(ISBLANK(数据源!AJ100),"",数据源!AJ100)</f>
        <v/>
      </c>
      <c r="BI75" s="2" t="str">
        <f>IF(ISBLANK(数据源!AK100),"",数据源!AK100)</f>
        <v/>
      </c>
      <c r="BJ75" s="2" t="str">
        <f>IF(LEN(数据源!AI100)=0,IF(LEN(数据源!W100)=0,"",数据源!W100),数据源!AI100)</f>
        <v/>
      </c>
      <c r="BK75" s="1"/>
      <c r="BL75" s="2" t="str">
        <f>IF(ISBLANK(数据源!X100),"",数据源!X100)</f>
        <v/>
      </c>
      <c r="BM75" s="2" t="str">
        <f>IF(ISBLANK(数据源!Z100),"",IF(数据源!Z100="A","Qualified","Unqualified"))</f>
        <v/>
      </c>
      <c r="BN75" s="2" t="str">
        <f>IF(ISBLANK(数据源!AL100),"",数据源!AL100)</f>
        <v/>
      </c>
      <c r="BO75" s="2" t="str">
        <f>IF(ISBLANK(数据源!AC100),"",数据源!AC100)</f>
        <v/>
      </c>
      <c r="BP75" s="2" t="str">
        <f>IF(ISBLANK(数据源!AE100),"",数据源!AE100)</f>
        <v/>
      </c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P75" s="86" t="str">
        <f>IF(ISBLANK(数据源!AW100),"",数据源!AW100)</f>
        <v/>
      </c>
      <c r="CQ75" s="86"/>
      <c r="CR75" s="86" t="str">
        <f>IF(ISBLANK(数据源!AX100),"",数据源!AX100)</f>
        <v/>
      </c>
      <c r="CS75" s="86" t="str">
        <f>IF(ISBLANK(数据源!AV100),"",数据源!AV100)</f>
        <v/>
      </c>
      <c r="CT75" s="86"/>
      <c r="CU75" s="87" t="s">
        <v>168</v>
      </c>
      <c r="CV75" s="86"/>
      <c r="CW75" s="86" t="str">
        <f>IF(ISBLANK(数据源!AU100),"",数据源!AU100)</f>
        <v/>
      </c>
      <c r="DA75" s="97">
        <f>IF(数据源!L100&lt;&gt;"QA",0,数据源!O100)</f>
        <v>0</v>
      </c>
      <c r="DB75" s="97">
        <f>数据源!M100</f>
        <v>0</v>
      </c>
      <c r="DC75" s="97">
        <f>数据源!N100</f>
        <v>0</v>
      </c>
      <c r="DD75" s="97">
        <f>IF(数据源!L100&lt;&gt;"QC",0,数据源!O100)</f>
        <v>0</v>
      </c>
    </row>
    <row r="76" spans="1:108">
      <c r="A76" s="1" t="str">
        <f>IF(数据源!K101="外检","#","")</f>
        <v/>
      </c>
      <c r="B76" s="2" t="str">
        <f>IF(ISBLANK(数据源!B101),"",数据源!B101)</f>
        <v/>
      </c>
      <c r="C76" s="2" t="str">
        <f>IF(ISBLANK(数据源!C101),"",IF(数据源!C101="/",数据源!F101,数据源!C101))</f>
        <v/>
      </c>
      <c r="D76" s="2" t="str">
        <f>IF(LEN(数据源!P101)=0,IF(LEN(数据源!D101)=0,"",数据源!D101),数据源!P101)</f>
        <v/>
      </c>
      <c r="E76" s="2"/>
      <c r="F76" s="2" t="str">
        <f>IF(ISBLANK(数据源!E101),"",数据源!E101)</f>
        <v/>
      </c>
      <c r="G76" s="2" t="str">
        <f>IF(ISBLANK(数据源!G101),"",IF(数据源!G101="A","合格","不合格"))</f>
        <v/>
      </c>
      <c r="H76" s="2" t="str">
        <f>IF(ISBLANK(数据源!H101),"",数据源!H101)</f>
        <v/>
      </c>
      <c r="I76" s="2" t="str">
        <f>IF(ISBLANK(数据源!J101),"",数据源!J101)</f>
        <v/>
      </c>
      <c r="J76" s="2" t="str">
        <f>IF(ISBLANK(数据源!L101),"",数据源!L101)</f>
        <v/>
      </c>
      <c r="K76" s="1" t="str">
        <f>IF(数据源!AD101="外检","#","")</f>
        <v/>
      </c>
      <c r="L76" s="2" t="str">
        <f>IF(ISBLANK(数据源!U101),"",数据源!U101)</f>
        <v/>
      </c>
      <c r="M76" s="2" t="str">
        <f>IF(ISBLANK(数据源!V101),"",IF(数据源!V101="/",数据源!Y101,数据源!V101))</f>
        <v/>
      </c>
      <c r="N76" s="2" t="str">
        <f>IF(LEN(数据源!AI101)=0,IF(LEN(数据源!W101)=0,"",数据源!W101),数据源!AI101)</f>
        <v/>
      </c>
      <c r="O76" s="1"/>
      <c r="P76" s="2" t="str">
        <f>IF(ISBLANK(数据源!X101),"",数据源!X101)</f>
        <v/>
      </c>
      <c r="Q76" s="2" t="str">
        <f>IF(ISBLANK(数据源!Z101),"",IF(数据源!Z101="A","合格","不合格"))</f>
        <v/>
      </c>
      <c r="R76" s="2" t="str">
        <f>IF(ISBLANK(数据源!AA101),"",数据源!AA101)</f>
        <v/>
      </c>
      <c r="S76" s="2" t="str">
        <f>IF(ISBLANK(数据源!AC101),"",数据源!AC101)</f>
        <v/>
      </c>
      <c r="T76" s="2" t="str">
        <f>IF(ISBLANK(数据源!AE101),"",数据源!AE101)</f>
        <v/>
      </c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W76" s="1" t="str">
        <f>IF(数据源!K101="外检","#","")</f>
        <v/>
      </c>
      <c r="AX76" s="2" t="str">
        <f>IF(ISBLANK(数据源!Q101),"",数据源!Q101)</f>
        <v/>
      </c>
      <c r="AY76" s="2" t="str">
        <f>IF(ISBLANK(数据源!R101),"",数据源!R101)</f>
        <v/>
      </c>
      <c r="AZ76" s="2" t="str">
        <f>IF(LEN(数据源!P101)=0,IF(LEN(数据源!D101)=0,"",数据源!D101),数据源!P101)</f>
        <v/>
      </c>
      <c r="BA76" s="2"/>
      <c r="BB76" s="2" t="str">
        <f>IF(ISBLANK(数据源!E101),"",数据源!E101)</f>
        <v/>
      </c>
      <c r="BC76" s="2" t="str">
        <f>IF(ISBLANK(数据源!G101),"",IF(数据源!G101="A","Qualified","Unqualified"))</f>
        <v/>
      </c>
      <c r="BD76" s="2" t="str">
        <f>IF(ISBLANK(数据源!S101),"",数据源!S101)</f>
        <v/>
      </c>
      <c r="BE76" s="2" t="str">
        <f>IF(ISBLANK(数据源!J101),"",数据源!J101)</f>
        <v/>
      </c>
      <c r="BF76" s="2" t="str">
        <f>IF(ISBLANK(数据源!L101),"",数据源!L101)</f>
        <v/>
      </c>
      <c r="BG76" s="1" t="str">
        <f>IF(数据源!AD101="外检","#","")</f>
        <v/>
      </c>
      <c r="BH76" s="2" t="str">
        <f>IF(ISBLANK(数据源!AJ101),"",数据源!AJ101)</f>
        <v/>
      </c>
      <c r="BI76" s="2" t="str">
        <f>IF(ISBLANK(数据源!AK101),"",数据源!AK101)</f>
        <v/>
      </c>
      <c r="BJ76" s="2" t="str">
        <f>IF(LEN(数据源!AI101)=0,IF(LEN(数据源!W101)=0,"",数据源!W101),数据源!AI101)</f>
        <v/>
      </c>
      <c r="BK76" s="1"/>
      <c r="BL76" s="2" t="str">
        <f>IF(ISBLANK(数据源!X101),"",数据源!X101)</f>
        <v/>
      </c>
      <c r="BM76" s="2" t="str">
        <f>IF(ISBLANK(数据源!Z101),"",IF(数据源!Z101="A","Qualified","Unqualified"))</f>
        <v/>
      </c>
      <c r="BN76" s="2" t="str">
        <f>IF(ISBLANK(数据源!AL101),"",数据源!AL101)</f>
        <v/>
      </c>
      <c r="BO76" s="2" t="str">
        <f>IF(ISBLANK(数据源!AC101),"",数据源!AC101)</f>
        <v/>
      </c>
      <c r="BP76" s="2" t="str">
        <f>IF(ISBLANK(数据源!AE101),"",数据源!AE101)</f>
        <v/>
      </c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P76" s="86" t="str">
        <f>IF(ISBLANK(数据源!AW101),"",数据源!AW101)</f>
        <v/>
      </c>
      <c r="CQ76" s="86"/>
      <c r="CR76" s="86" t="str">
        <f>IF(ISBLANK(数据源!AX101),"",数据源!AX101)</f>
        <v/>
      </c>
      <c r="CS76" s="86" t="str">
        <f>IF(ISBLANK(数据源!AV101),"",数据源!AV101)</f>
        <v/>
      </c>
      <c r="CT76" s="86"/>
      <c r="CU76" s="87" t="s">
        <v>168</v>
      </c>
      <c r="CV76" s="86"/>
      <c r="CW76" s="86" t="str">
        <f>IF(ISBLANK(数据源!AU101),"",数据源!AU101)</f>
        <v/>
      </c>
      <c r="DA76" s="97">
        <f>IF(数据源!L101&lt;&gt;"QA",0,数据源!O101)</f>
        <v>0</v>
      </c>
      <c r="DB76" s="97">
        <f>数据源!M101</f>
        <v>0</v>
      </c>
      <c r="DC76" s="97">
        <f>数据源!N101</f>
        <v>0</v>
      </c>
      <c r="DD76" s="97">
        <f>IF(数据源!L101&lt;&gt;"QC",0,数据源!O101)</f>
        <v>0</v>
      </c>
    </row>
    <row r="77" spans="1:108">
      <c r="A77" s="1" t="str">
        <f>IF(数据源!K102="外检","#","")</f>
        <v/>
      </c>
      <c r="B77" s="2" t="str">
        <f>IF(ISBLANK(数据源!B102),"",数据源!B102)</f>
        <v/>
      </c>
      <c r="C77" s="2" t="str">
        <f>IF(ISBLANK(数据源!C102),"",IF(数据源!C102="/",数据源!F102,数据源!C102))</f>
        <v/>
      </c>
      <c r="D77" s="2" t="str">
        <f>IF(LEN(数据源!P102)=0,IF(LEN(数据源!D102)=0,"",数据源!D102),数据源!P102)</f>
        <v/>
      </c>
      <c r="E77" s="2"/>
      <c r="F77" s="2" t="str">
        <f>IF(ISBLANK(数据源!E102),"",数据源!E102)</f>
        <v/>
      </c>
      <c r="G77" s="2" t="str">
        <f>IF(ISBLANK(数据源!G102),"",IF(数据源!G102="A","合格","不合格"))</f>
        <v/>
      </c>
      <c r="H77" s="2" t="str">
        <f>IF(ISBLANK(数据源!H102),"",数据源!H102)</f>
        <v/>
      </c>
      <c r="I77" s="2" t="str">
        <f>IF(ISBLANK(数据源!J102),"",数据源!J102)</f>
        <v/>
      </c>
      <c r="J77" s="2" t="str">
        <f>IF(ISBLANK(数据源!L102),"",数据源!L102)</f>
        <v/>
      </c>
      <c r="K77" s="1" t="str">
        <f>IF(数据源!AD102="外检","#","")</f>
        <v/>
      </c>
      <c r="L77" s="2" t="str">
        <f>IF(ISBLANK(数据源!U102),"",数据源!U102)</f>
        <v/>
      </c>
      <c r="M77" s="2" t="str">
        <f>IF(ISBLANK(数据源!V102),"",IF(数据源!V102="/",数据源!Y102,数据源!V102))</f>
        <v/>
      </c>
      <c r="N77" s="2" t="str">
        <f>IF(LEN(数据源!AI102)=0,IF(LEN(数据源!W102)=0,"",数据源!W102),数据源!AI102)</f>
        <v/>
      </c>
      <c r="O77" s="1"/>
      <c r="P77" s="2" t="str">
        <f>IF(ISBLANK(数据源!X102),"",数据源!X102)</f>
        <v/>
      </c>
      <c r="Q77" s="2" t="str">
        <f>IF(ISBLANK(数据源!Z102),"",IF(数据源!Z102="A","合格","不合格"))</f>
        <v/>
      </c>
      <c r="R77" s="2" t="str">
        <f>IF(ISBLANK(数据源!AA102),"",数据源!AA102)</f>
        <v/>
      </c>
      <c r="S77" s="2" t="str">
        <f>IF(ISBLANK(数据源!AC102),"",数据源!AC102)</f>
        <v/>
      </c>
      <c r="T77" s="2" t="str">
        <f>IF(ISBLANK(数据源!AE102),"",数据源!AE102)</f>
        <v/>
      </c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W77" s="1" t="str">
        <f>IF(数据源!K102="外检","#","")</f>
        <v/>
      </c>
      <c r="AX77" s="2" t="str">
        <f>IF(ISBLANK(数据源!Q102),"",数据源!Q102)</f>
        <v/>
      </c>
      <c r="AY77" s="2" t="str">
        <f>IF(ISBLANK(数据源!R102),"",数据源!R102)</f>
        <v/>
      </c>
      <c r="AZ77" s="2" t="str">
        <f>IF(LEN(数据源!P102)=0,IF(LEN(数据源!D102)=0,"",数据源!D102),数据源!P102)</f>
        <v/>
      </c>
      <c r="BA77" s="2"/>
      <c r="BB77" s="2" t="str">
        <f>IF(ISBLANK(数据源!E102),"",数据源!E102)</f>
        <v/>
      </c>
      <c r="BC77" s="2" t="str">
        <f>IF(ISBLANK(数据源!G102),"",IF(数据源!G102="A","Qualified","Unqualified"))</f>
        <v/>
      </c>
      <c r="BD77" s="2" t="str">
        <f>IF(ISBLANK(数据源!S102),"",数据源!S102)</f>
        <v/>
      </c>
      <c r="BE77" s="2" t="str">
        <f>IF(ISBLANK(数据源!J102),"",数据源!J102)</f>
        <v/>
      </c>
      <c r="BF77" s="2" t="str">
        <f>IF(ISBLANK(数据源!L102),"",数据源!L102)</f>
        <v/>
      </c>
      <c r="BG77" s="1" t="str">
        <f>IF(数据源!AD102="外检","#","")</f>
        <v/>
      </c>
      <c r="BH77" s="2" t="str">
        <f>IF(ISBLANK(数据源!AJ102),"",数据源!AJ102)</f>
        <v/>
      </c>
      <c r="BI77" s="2" t="str">
        <f>IF(ISBLANK(数据源!AK102),"",数据源!AK102)</f>
        <v/>
      </c>
      <c r="BJ77" s="2" t="str">
        <f>IF(LEN(数据源!AI102)=0,IF(LEN(数据源!W102)=0,"",数据源!W102),数据源!AI102)</f>
        <v/>
      </c>
      <c r="BK77" s="1"/>
      <c r="BL77" s="2" t="str">
        <f>IF(ISBLANK(数据源!X102),"",数据源!X102)</f>
        <v/>
      </c>
      <c r="BM77" s="2" t="str">
        <f>IF(ISBLANK(数据源!Z102),"",IF(数据源!Z102="A","Qualified","Unqualified"))</f>
        <v/>
      </c>
      <c r="BN77" s="2" t="str">
        <f>IF(ISBLANK(数据源!AL102),"",数据源!AL102)</f>
        <v/>
      </c>
      <c r="BO77" s="2" t="str">
        <f>IF(ISBLANK(数据源!AC102),"",数据源!AC102)</f>
        <v/>
      </c>
      <c r="BP77" s="2" t="str">
        <f>IF(ISBLANK(数据源!AE102),"",数据源!AE102)</f>
        <v/>
      </c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P77" s="86" t="str">
        <f>IF(ISBLANK(数据源!AW102),"",数据源!AW102)</f>
        <v/>
      </c>
      <c r="CQ77" s="86"/>
      <c r="CR77" s="86" t="str">
        <f>IF(ISBLANK(数据源!AX102),"",数据源!AX102)</f>
        <v/>
      </c>
      <c r="CS77" s="86" t="str">
        <f>IF(ISBLANK(数据源!AV102),"",数据源!AV102)</f>
        <v/>
      </c>
      <c r="CT77" s="86"/>
      <c r="CU77" s="87" t="s">
        <v>168</v>
      </c>
      <c r="CV77" s="86"/>
      <c r="CW77" s="86" t="str">
        <f>IF(ISBLANK(数据源!AU102),"",数据源!AU102)</f>
        <v/>
      </c>
      <c r="DA77" s="97">
        <f>IF(数据源!L102&lt;&gt;"QA",0,数据源!O102)</f>
        <v>0</v>
      </c>
      <c r="DB77" s="97">
        <f>数据源!M102</f>
        <v>0</v>
      </c>
      <c r="DC77" s="97">
        <f>数据源!N102</f>
        <v>0</v>
      </c>
      <c r="DD77" s="97">
        <f>IF(数据源!L102&lt;&gt;"QC",0,数据源!O102)</f>
        <v>0</v>
      </c>
    </row>
    <row r="78" spans="1:108">
      <c r="A78" s="1" t="str">
        <f>IF(数据源!K103="外检","#","")</f>
        <v/>
      </c>
      <c r="B78" s="2" t="str">
        <f>IF(ISBLANK(数据源!B103),"",数据源!B103)</f>
        <v/>
      </c>
      <c r="C78" s="2" t="str">
        <f>IF(ISBLANK(数据源!C103),"",IF(数据源!C103="/",数据源!F103,数据源!C103))</f>
        <v/>
      </c>
      <c r="D78" s="2" t="str">
        <f>IF(LEN(数据源!P103)=0,IF(LEN(数据源!D103)=0,"",数据源!D103),数据源!P103)</f>
        <v/>
      </c>
      <c r="E78" s="2"/>
      <c r="F78" s="2" t="str">
        <f>IF(ISBLANK(数据源!E103),"",数据源!E103)</f>
        <v/>
      </c>
      <c r="G78" s="2" t="str">
        <f>IF(ISBLANK(数据源!G103),"",IF(数据源!G103="A","合格","不合格"))</f>
        <v/>
      </c>
      <c r="H78" s="2" t="str">
        <f>IF(ISBLANK(数据源!H103),"",数据源!H103)</f>
        <v/>
      </c>
      <c r="I78" s="2" t="str">
        <f>IF(ISBLANK(数据源!J103),"",数据源!J103)</f>
        <v/>
      </c>
      <c r="J78" s="2" t="str">
        <f>IF(ISBLANK(数据源!L103),"",数据源!L103)</f>
        <v/>
      </c>
      <c r="K78" s="1" t="str">
        <f>IF(数据源!AD103="外检","#","")</f>
        <v/>
      </c>
      <c r="L78" s="2" t="str">
        <f>IF(ISBLANK(数据源!U103),"",数据源!U103)</f>
        <v/>
      </c>
      <c r="M78" s="2" t="str">
        <f>IF(ISBLANK(数据源!V103),"",IF(数据源!V103="/",数据源!Y103,数据源!V103))</f>
        <v/>
      </c>
      <c r="N78" s="2" t="str">
        <f>IF(LEN(数据源!AI103)=0,IF(LEN(数据源!W103)=0,"",数据源!W103),数据源!AI103)</f>
        <v/>
      </c>
      <c r="O78" s="1"/>
      <c r="P78" s="2" t="str">
        <f>IF(ISBLANK(数据源!X103),"",数据源!X103)</f>
        <v/>
      </c>
      <c r="Q78" s="2" t="str">
        <f>IF(ISBLANK(数据源!Z103),"",IF(数据源!Z103="A","合格","不合格"))</f>
        <v/>
      </c>
      <c r="R78" s="2" t="str">
        <f>IF(ISBLANK(数据源!AA103),"",数据源!AA103)</f>
        <v/>
      </c>
      <c r="S78" s="2" t="str">
        <f>IF(ISBLANK(数据源!AC103),"",数据源!AC103)</f>
        <v/>
      </c>
      <c r="T78" s="2" t="str">
        <f>IF(ISBLANK(数据源!AE103),"",数据源!AE103)</f>
        <v/>
      </c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W78" s="1" t="str">
        <f>IF(数据源!K103="外检","#","")</f>
        <v/>
      </c>
      <c r="AX78" s="2" t="str">
        <f>IF(ISBLANK(数据源!Q103),"",数据源!Q103)</f>
        <v/>
      </c>
      <c r="AY78" s="2" t="str">
        <f>IF(ISBLANK(数据源!R103),"",数据源!R103)</f>
        <v/>
      </c>
      <c r="AZ78" s="2" t="str">
        <f>IF(LEN(数据源!P103)=0,IF(LEN(数据源!D103)=0,"",数据源!D103),数据源!P103)</f>
        <v/>
      </c>
      <c r="BA78" s="2"/>
      <c r="BB78" s="2" t="str">
        <f>IF(ISBLANK(数据源!E103),"",数据源!E103)</f>
        <v/>
      </c>
      <c r="BC78" s="2" t="str">
        <f>IF(ISBLANK(数据源!G103),"",IF(数据源!G103="A","Qualified","Unqualified"))</f>
        <v/>
      </c>
      <c r="BD78" s="2" t="str">
        <f>IF(ISBLANK(数据源!S103),"",数据源!S103)</f>
        <v/>
      </c>
      <c r="BE78" s="2" t="str">
        <f>IF(ISBLANK(数据源!J103),"",数据源!J103)</f>
        <v/>
      </c>
      <c r="BF78" s="2" t="str">
        <f>IF(ISBLANK(数据源!L103),"",数据源!L103)</f>
        <v/>
      </c>
      <c r="BG78" s="1" t="str">
        <f>IF(数据源!AD103="外检","#","")</f>
        <v/>
      </c>
      <c r="BH78" s="2" t="str">
        <f>IF(ISBLANK(数据源!AJ103),"",数据源!AJ103)</f>
        <v/>
      </c>
      <c r="BI78" s="2" t="str">
        <f>IF(ISBLANK(数据源!AK103),"",数据源!AK103)</f>
        <v/>
      </c>
      <c r="BJ78" s="2" t="str">
        <f>IF(LEN(数据源!AI103)=0,IF(LEN(数据源!W103)=0,"",数据源!W103),数据源!AI103)</f>
        <v/>
      </c>
      <c r="BK78" s="1"/>
      <c r="BL78" s="2" t="str">
        <f>IF(ISBLANK(数据源!X103),"",数据源!X103)</f>
        <v/>
      </c>
      <c r="BM78" s="2" t="str">
        <f>IF(ISBLANK(数据源!Z103),"",IF(数据源!Z103="A","Qualified","Unqualified"))</f>
        <v/>
      </c>
      <c r="BN78" s="2" t="str">
        <f>IF(ISBLANK(数据源!AL103),"",数据源!AL103)</f>
        <v/>
      </c>
      <c r="BO78" s="2" t="str">
        <f>IF(ISBLANK(数据源!AC103),"",数据源!AC103)</f>
        <v/>
      </c>
      <c r="BP78" s="2" t="str">
        <f>IF(ISBLANK(数据源!AE103),"",数据源!AE103)</f>
        <v/>
      </c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P78" s="86" t="str">
        <f>IF(ISBLANK(数据源!AW103),"",数据源!AW103)</f>
        <v/>
      </c>
      <c r="CQ78" s="86"/>
      <c r="CR78" s="86" t="str">
        <f>IF(ISBLANK(数据源!AX103),"",数据源!AX103)</f>
        <v/>
      </c>
      <c r="CS78" s="86" t="str">
        <f>IF(ISBLANK(数据源!AV103),"",数据源!AV103)</f>
        <v/>
      </c>
      <c r="CT78" s="86"/>
      <c r="CU78" s="87" t="s">
        <v>168</v>
      </c>
      <c r="CV78" s="86"/>
      <c r="CW78" s="86" t="str">
        <f>IF(ISBLANK(数据源!AU103),"",数据源!AU103)</f>
        <v/>
      </c>
      <c r="DA78" s="97">
        <f>IF(数据源!L103&lt;&gt;"QA",0,数据源!O103)</f>
        <v>0</v>
      </c>
      <c r="DB78" s="97">
        <f>数据源!M103</f>
        <v>0</v>
      </c>
      <c r="DC78" s="97">
        <f>数据源!N103</f>
        <v>0</v>
      </c>
      <c r="DD78" s="97">
        <f>IF(数据源!L103&lt;&gt;"QC",0,数据源!O103)</f>
        <v>0</v>
      </c>
    </row>
    <row r="79" spans="1:108">
      <c r="A79" s="1" t="str">
        <f>IF(数据源!K104="外检","#","")</f>
        <v/>
      </c>
      <c r="B79" s="2" t="str">
        <f>IF(ISBLANK(数据源!B104),"",数据源!B104)</f>
        <v/>
      </c>
      <c r="C79" s="2" t="str">
        <f>IF(ISBLANK(数据源!C104),"",IF(数据源!C104="/",数据源!F104,数据源!C104))</f>
        <v/>
      </c>
      <c r="D79" s="2" t="str">
        <f>IF(LEN(数据源!P104)=0,IF(LEN(数据源!D104)=0,"",数据源!D104),数据源!P104)</f>
        <v/>
      </c>
      <c r="E79" s="2"/>
      <c r="F79" s="2" t="str">
        <f>IF(ISBLANK(数据源!E104),"",数据源!E104)</f>
        <v/>
      </c>
      <c r="G79" s="2" t="str">
        <f>IF(ISBLANK(数据源!G104),"",IF(数据源!G104="A","合格","不合格"))</f>
        <v/>
      </c>
      <c r="H79" s="2" t="str">
        <f>IF(ISBLANK(数据源!H104),"",数据源!H104)</f>
        <v/>
      </c>
      <c r="I79" s="2" t="str">
        <f>IF(ISBLANK(数据源!J104),"",数据源!J104)</f>
        <v/>
      </c>
      <c r="J79" s="2" t="str">
        <f>IF(ISBLANK(数据源!L104),"",数据源!L104)</f>
        <v/>
      </c>
      <c r="K79" s="1" t="str">
        <f>IF(数据源!AD104="外检","#","")</f>
        <v/>
      </c>
      <c r="L79" s="2" t="str">
        <f>IF(ISBLANK(数据源!U104),"",数据源!U104)</f>
        <v/>
      </c>
      <c r="M79" s="2" t="str">
        <f>IF(ISBLANK(数据源!V104),"",IF(数据源!V104="/",数据源!Y104,数据源!V104))</f>
        <v/>
      </c>
      <c r="N79" s="2" t="str">
        <f>IF(LEN(数据源!AI104)=0,IF(LEN(数据源!W104)=0,"",数据源!W104),数据源!AI104)</f>
        <v/>
      </c>
      <c r="O79" s="1"/>
      <c r="P79" s="2" t="str">
        <f>IF(ISBLANK(数据源!X104),"",数据源!X104)</f>
        <v/>
      </c>
      <c r="Q79" s="2" t="str">
        <f>IF(ISBLANK(数据源!Z104),"",IF(数据源!Z104="A","合格","不合格"))</f>
        <v/>
      </c>
      <c r="R79" s="2" t="str">
        <f>IF(ISBLANK(数据源!AA104),"",数据源!AA104)</f>
        <v/>
      </c>
      <c r="S79" s="2" t="str">
        <f>IF(ISBLANK(数据源!AC104),"",数据源!AC104)</f>
        <v/>
      </c>
      <c r="T79" s="2" t="str">
        <f>IF(ISBLANK(数据源!AE104),"",数据源!AE104)</f>
        <v/>
      </c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W79" s="1" t="str">
        <f>IF(数据源!K104="外检","#","")</f>
        <v/>
      </c>
      <c r="AX79" s="2" t="str">
        <f>IF(ISBLANK(数据源!Q104),"",数据源!Q104)</f>
        <v/>
      </c>
      <c r="AY79" s="2" t="str">
        <f>IF(ISBLANK(数据源!R104),"",数据源!R104)</f>
        <v/>
      </c>
      <c r="AZ79" s="2" t="str">
        <f>IF(LEN(数据源!P104)=0,IF(LEN(数据源!D104)=0,"",数据源!D104),数据源!P104)</f>
        <v/>
      </c>
      <c r="BA79" s="2"/>
      <c r="BB79" s="2" t="str">
        <f>IF(ISBLANK(数据源!E104),"",数据源!E104)</f>
        <v/>
      </c>
      <c r="BC79" s="2" t="str">
        <f>IF(ISBLANK(数据源!G104),"",IF(数据源!G104="A","Qualified","Unqualified"))</f>
        <v/>
      </c>
      <c r="BD79" s="2" t="str">
        <f>IF(ISBLANK(数据源!S104),"",数据源!S104)</f>
        <v/>
      </c>
      <c r="BE79" s="2" t="str">
        <f>IF(ISBLANK(数据源!J104),"",数据源!J104)</f>
        <v/>
      </c>
      <c r="BF79" s="2" t="str">
        <f>IF(ISBLANK(数据源!L104),"",数据源!L104)</f>
        <v/>
      </c>
      <c r="BG79" s="1" t="str">
        <f>IF(数据源!AD104="外检","#","")</f>
        <v/>
      </c>
      <c r="BH79" s="2" t="str">
        <f>IF(ISBLANK(数据源!AJ104),"",数据源!AJ104)</f>
        <v/>
      </c>
      <c r="BI79" s="2" t="str">
        <f>IF(ISBLANK(数据源!AK104),"",数据源!AK104)</f>
        <v/>
      </c>
      <c r="BJ79" s="2" t="str">
        <f>IF(LEN(数据源!AI104)=0,IF(LEN(数据源!W104)=0,"",数据源!W104),数据源!AI104)</f>
        <v/>
      </c>
      <c r="BK79" s="1"/>
      <c r="BL79" s="2" t="str">
        <f>IF(ISBLANK(数据源!X104),"",数据源!X104)</f>
        <v/>
      </c>
      <c r="BM79" s="2" t="str">
        <f>IF(ISBLANK(数据源!Z104),"",IF(数据源!Z104="A","Qualified","Unqualified"))</f>
        <v/>
      </c>
      <c r="BN79" s="2" t="str">
        <f>IF(ISBLANK(数据源!AL104),"",数据源!AL104)</f>
        <v/>
      </c>
      <c r="BO79" s="2" t="str">
        <f>IF(ISBLANK(数据源!AC104),"",数据源!AC104)</f>
        <v/>
      </c>
      <c r="BP79" s="2" t="str">
        <f>IF(ISBLANK(数据源!AE104),"",数据源!AE104)</f>
        <v/>
      </c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P79" s="86" t="str">
        <f>IF(ISBLANK(数据源!AW104),"",数据源!AW104)</f>
        <v/>
      </c>
      <c r="CQ79" s="86"/>
      <c r="CR79" s="86" t="str">
        <f>IF(ISBLANK(数据源!AX104),"",数据源!AX104)</f>
        <v/>
      </c>
      <c r="CS79" s="86" t="str">
        <f>IF(ISBLANK(数据源!AV104),"",数据源!AV104)</f>
        <v/>
      </c>
      <c r="CT79" s="86"/>
      <c r="CU79" s="87" t="s">
        <v>168</v>
      </c>
      <c r="CV79" s="86"/>
      <c r="CW79" s="86" t="str">
        <f>IF(ISBLANK(数据源!AU104),"",数据源!AU104)</f>
        <v/>
      </c>
      <c r="DA79" s="97">
        <f>IF(数据源!L104&lt;&gt;"QA",0,数据源!O104)</f>
        <v>0</v>
      </c>
      <c r="DB79" s="97">
        <f>数据源!M104</f>
        <v>0</v>
      </c>
      <c r="DC79" s="97">
        <f>数据源!N104</f>
        <v>0</v>
      </c>
      <c r="DD79" s="97">
        <f>IF(数据源!L104&lt;&gt;"QC",0,数据源!O104)</f>
        <v>0</v>
      </c>
    </row>
    <row r="80" spans="1:108">
      <c r="A80" s="1" t="str">
        <f>IF(数据源!K105="外检","#","")</f>
        <v/>
      </c>
      <c r="B80" s="2" t="str">
        <f>IF(ISBLANK(数据源!B105),"",数据源!B105)</f>
        <v/>
      </c>
      <c r="C80" s="2" t="str">
        <f>IF(ISBLANK(数据源!C105),"",IF(数据源!C105="/",数据源!F105,数据源!C105))</f>
        <v/>
      </c>
      <c r="D80" s="2" t="str">
        <f>IF(LEN(数据源!P105)=0,IF(LEN(数据源!D105)=0,"",数据源!D105),数据源!P105)</f>
        <v/>
      </c>
      <c r="E80" s="2"/>
      <c r="F80" s="2" t="str">
        <f>IF(ISBLANK(数据源!E105),"",数据源!E105)</f>
        <v/>
      </c>
      <c r="G80" s="2" t="str">
        <f>IF(ISBLANK(数据源!G105),"",IF(数据源!G105="A","合格","不合格"))</f>
        <v/>
      </c>
      <c r="H80" s="2" t="str">
        <f>IF(ISBLANK(数据源!H105),"",数据源!H105)</f>
        <v/>
      </c>
      <c r="I80" s="2" t="str">
        <f>IF(ISBLANK(数据源!J105),"",数据源!J105)</f>
        <v/>
      </c>
      <c r="J80" s="2" t="str">
        <f>IF(ISBLANK(数据源!L105),"",数据源!L105)</f>
        <v/>
      </c>
      <c r="K80" s="1" t="str">
        <f>IF(数据源!AD105="外检","#","")</f>
        <v/>
      </c>
      <c r="L80" s="2" t="str">
        <f>IF(ISBLANK(数据源!U105),"",数据源!U105)</f>
        <v/>
      </c>
      <c r="M80" s="2" t="str">
        <f>IF(ISBLANK(数据源!V105),"",IF(数据源!V105="/",数据源!Y105,数据源!V105))</f>
        <v/>
      </c>
      <c r="N80" s="2" t="str">
        <f>IF(LEN(数据源!AI105)=0,IF(LEN(数据源!W105)=0,"",数据源!W105),数据源!AI105)</f>
        <v/>
      </c>
      <c r="O80" s="1"/>
      <c r="P80" s="2" t="str">
        <f>IF(ISBLANK(数据源!X105),"",数据源!X105)</f>
        <v/>
      </c>
      <c r="Q80" s="2" t="str">
        <f>IF(ISBLANK(数据源!Z105),"",IF(数据源!Z105="A","合格","不合格"))</f>
        <v/>
      </c>
      <c r="R80" s="2" t="str">
        <f>IF(ISBLANK(数据源!AA105),"",数据源!AA105)</f>
        <v/>
      </c>
      <c r="S80" s="2" t="str">
        <f>IF(ISBLANK(数据源!AC105),"",数据源!AC105)</f>
        <v/>
      </c>
      <c r="T80" s="2" t="str">
        <f>IF(ISBLANK(数据源!AE105),"",数据源!AE105)</f>
        <v/>
      </c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W80" s="1" t="str">
        <f>IF(数据源!K105="外检","#","")</f>
        <v/>
      </c>
      <c r="AX80" s="2" t="str">
        <f>IF(ISBLANK(数据源!Q105),"",数据源!Q105)</f>
        <v/>
      </c>
      <c r="AY80" s="2" t="str">
        <f>IF(ISBLANK(数据源!R105),"",数据源!R105)</f>
        <v/>
      </c>
      <c r="AZ80" s="2" t="str">
        <f>IF(LEN(数据源!P105)=0,IF(LEN(数据源!D105)=0,"",数据源!D105),数据源!P105)</f>
        <v/>
      </c>
      <c r="BA80" s="2"/>
      <c r="BB80" s="2" t="str">
        <f>IF(ISBLANK(数据源!E105),"",数据源!E105)</f>
        <v/>
      </c>
      <c r="BC80" s="2" t="str">
        <f>IF(ISBLANK(数据源!G105),"",IF(数据源!G105="A","Qualified","Unqualified"))</f>
        <v/>
      </c>
      <c r="BD80" s="2" t="str">
        <f>IF(ISBLANK(数据源!S105),"",数据源!S105)</f>
        <v/>
      </c>
      <c r="BE80" s="2" t="str">
        <f>IF(ISBLANK(数据源!J105),"",数据源!J105)</f>
        <v/>
      </c>
      <c r="BF80" s="2" t="str">
        <f>IF(ISBLANK(数据源!L105),"",数据源!L105)</f>
        <v/>
      </c>
      <c r="BG80" s="1" t="str">
        <f>IF(数据源!AD105="外检","#","")</f>
        <v/>
      </c>
      <c r="BH80" s="2" t="str">
        <f>IF(ISBLANK(数据源!AJ105),"",数据源!AJ105)</f>
        <v/>
      </c>
      <c r="BI80" s="2" t="str">
        <f>IF(ISBLANK(数据源!AK105),"",数据源!AK105)</f>
        <v/>
      </c>
      <c r="BJ80" s="2" t="str">
        <f>IF(LEN(数据源!AI105)=0,IF(LEN(数据源!W105)=0,"",数据源!W105),数据源!AI105)</f>
        <v/>
      </c>
      <c r="BK80" s="1"/>
      <c r="BL80" s="2" t="str">
        <f>IF(ISBLANK(数据源!X105),"",数据源!X105)</f>
        <v/>
      </c>
      <c r="BM80" s="2" t="str">
        <f>IF(ISBLANK(数据源!Z105),"",IF(数据源!Z105="A","Qualified","Unqualified"))</f>
        <v/>
      </c>
      <c r="BN80" s="2" t="str">
        <f>IF(ISBLANK(数据源!AL105),"",数据源!AL105)</f>
        <v/>
      </c>
      <c r="BO80" s="2" t="str">
        <f>IF(ISBLANK(数据源!AC105),"",数据源!AC105)</f>
        <v/>
      </c>
      <c r="BP80" s="2" t="str">
        <f>IF(ISBLANK(数据源!AE105),"",数据源!AE105)</f>
        <v/>
      </c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86" t="str">
        <f>IF(ISBLANK(数据源!AW105),"",数据源!AW105)</f>
        <v/>
      </c>
      <c r="CQ80" s="86"/>
      <c r="CR80" s="86" t="str">
        <f>IF(ISBLANK(数据源!AX105),"",数据源!AX105)</f>
        <v/>
      </c>
      <c r="CS80" s="86" t="str">
        <f>IF(ISBLANK(数据源!AV105),"",数据源!AV105)</f>
        <v/>
      </c>
      <c r="CT80" s="86"/>
      <c r="CU80" s="87" t="s">
        <v>168</v>
      </c>
      <c r="CV80" s="86"/>
      <c r="CW80" s="86" t="str">
        <f>IF(ISBLANK(数据源!AU105),"",数据源!AU105)</f>
        <v/>
      </c>
      <c r="DA80" s="97">
        <f>IF(数据源!L105&lt;&gt;"QA",0,数据源!O105)</f>
        <v>0</v>
      </c>
      <c r="DB80" s="97">
        <f>数据源!M105</f>
        <v>0</v>
      </c>
      <c r="DC80" s="97">
        <f>数据源!N105</f>
        <v>0</v>
      </c>
      <c r="DD80" s="97">
        <f>IF(数据源!L105&lt;&gt;"QC",0,数据源!O105)</f>
        <v>0</v>
      </c>
    </row>
    <row r="81" spans="1:108">
      <c r="A81" s="1" t="str">
        <f>IF(数据源!K106="外检","#","")</f>
        <v/>
      </c>
      <c r="B81" s="2" t="str">
        <f>IF(ISBLANK(数据源!B106),"",数据源!B106)</f>
        <v/>
      </c>
      <c r="C81" s="2" t="str">
        <f>IF(ISBLANK(数据源!C106),"",IF(数据源!C106="/",数据源!F106,数据源!C106))</f>
        <v/>
      </c>
      <c r="D81" s="2" t="str">
        <f>IF(LEN(数据源!P106)=0,IF(LEN(数据源!D106)=0,"",数据源!D106),数据源!P106)</f>
        <v/>
      </c>
      <c r="E81" s="2"/>
      <c r="F81" s="2" t="str">
        <f>IF(ISBLANK(数据源!E106),"",数据源!E106)</f>
        <v/>
      </c>
      <c r="G81" s="2" t="str">
        <f>IF(ISBLANK(数据源!G106),"",IF(数据源!G106="A","合格","不合格"))</f>
        <v/>
      </c>
      <c r="H81" s="2" t="str">
        <f>IF(ISBLANK(数据源!H106),"",数据源!H106)</f>
        <v/>
      </c>
      <c r="I81" s="2" t="str">
        <f>IF(ISBLANK(数据源!J106),"",数据源!J106)</f>
        <v/>
      </c>
      <c r="J81" s="2" t="str">
        <f>IF(ISBLANK(数据源!L106),"",数据源!L106)</f>
        <v/>
      </c>
      <c r="K81" s="1" t="str">
        <f>IF(数据源!AD106="外检","#","")</f>
        <v/>
      </c>
      <c r="L81" s="2" t="str">
        <f>IF(ISBLANK(数据源!U106),"",数据源!U106)</f>
        <v/>
      </c>
      <c r="M81" s="2" t="str">
        <f>IF(ISBLANK(数据源!V106),"",IF(数据源!V106="/",数据源!Y106,数据源!V106))</f>
        <v/>
      </c>
      <c r="N81" s="2" t="str">
        <f>IF(LEN(数据源!AI106)=0,IF(LEN(数据源!W106)=0,"",数据源!W106),数据源!AI106)</f>
        <v/>
      </c>
      <c r="O81" s="1"/>
      <c r="P81" s="2" t="str">
        <f>IF(ISBLANK(数据源!X106),"",数据源!X106)</f>
        <v/>
      </c>
      <c r="Q81" s="2" t="str">
        <f>IF(ISBLANK(数据源!Z106),"",IF(数据源!Z106="A","合格","不合格"))</f>
        <v/>
      </c>
      <c r="R81" s="2" t="str">
        <f>IF(ISBLANK(数据源!AA106),"",数据源!AA106)</f>
        <v/>
      </c>
      <c r="S81" s="2" t="str">
        <f>IF(ISBLANK(数据源!AC106),"",数据源!AC106)</f>
        <v/>
      </c>
      <c r="T81" s="2" t="str">
        <f>IF(ISBLANK(数据源!AE106),"",数据源!AE106)</f>
        <v/>
      </c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W81" s="1" t="str">
        <f>IF(数据源!K106="外检","#","")</f>
        <v/>
      </c>
      <c r="AX81" s="2" t="str">
        <f>IF(ISBLANK(数据源!Q106),"",数据源!Q106)</f>
        <v/>
      </c>
      <c r="AY81" s="2" t="str">
        <f>IF(ISBLANK(数据源!R106),"",数据源!R106)</f>
        <v/>
      </c>
      <c r="AZ81" s="2" t="str">
        <f>IF(LEN(数据源!P106)=0,IF(LEN(数据源!D106)=0,"",数据源!D106),数据源!P106)</f>
        <v/>
      </c>
      <c r="BA81" s="2"/>
      <c r="BB81" s="2" t="str">
        <f>IF(ISBLANK(数据源!E106),"",数据源!E106)</f>
        <v/>
      </c>
      <c r="BC81" s="2" t="str">
        <f>IF(ISBLANK(数据源!G106),"",IF(数据源!G106="A","Qualified","Unqualified"))</f>
        <v/>
      </c>
      <c r="BD81" s="2" t="str">
        <f>IF(ISBLANK(数据源!S106),"",数据源!S106)</f>
        <v/>
      </c>
      <c r="BE81" s="2" t="str">
        <f>IF(ISBLANK(数据源!J106),"",数据源!J106)</f>
        <v/>
      </c>
      <c r="BF81" s="2" t="str">
        <f>IF(ISBLANK(数据源!L106),"",数据源!L106)</f>
        <v/>
      </c>
      <c r="BG81" s="1" t="str">
        <f>IF(数据源!AD106="外检","#","")</f>
        <v/>
      </c>
      <c r="BH81" s="2" t="str">
        <f>IF(ISBLANK(数据源!AJ106),"",数据源!AJ106)</f>
        <v/>
      </c>
      <c r="BI81" s="2" t="str">
        <f>IF(ISBLANK(数据源!AK106),"",数据源!AK106)</f>
        <v/>
      </c>
      <c r="BJ81" s="2" t="str">
        <f>IF(LEN(数据源!AI106)=0,IF(LEN(数据源!W106)=0,"",数据源!W106),数据源!AI106)</f>
        <v/>
      </c>
      <c r="BK81" s="1"/>
      <c r="BL81" s="2" t="str">
        <f>IF(ISBLANK(数据源!X106),"",数据源!X106)</f>
        <v/>
      </c>
      <c r="BM81" s="2" t="str">
        <f>IF(ISBLANK(数据源!Z106),"",IF(数据源!Z106="A","Qualified","Unqualified"))</f>
        <v/>
      </c>
      <c r="BN81" s="2" t="str">
        <f>IF(ISBLANK(数据源!AL106),"",数据源!AL106)</f>
        <v/>
      </c>
      <c r="BO81" s="2" t="str">
        <f>IF(ISBLANK(数据源!AC106),"",数据源!AC106)</f>
        <v/>
      </c>
      <c r="BP81" s="2" t="str">
        <f>IF(ISBLANK(数据源!AE106),"",数据源!AE106)</f>
        <v/>
      </c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86" t="str">
        <f>IF(ISBLANK(数据源!AW106),"",数据源!AW106)</f>
        <v/>
      </c>
      <c r="CQ81" s="86"/>
      <c r="CR81" s="86" t="str">
        <f>IF(ISBLANK(数据源!AX106),"",数据源!AX106)</f>
        <v/>
      </c>
      <c r="CS81" s="86" t="str">
        <f>IF(ISBLANK(数据源!AV106),"",数据源!AV106)</f>
        <v/>
      </c>
      <c r="CT81" s="86"/>
      <c r="CU81" s="87" t="s">
        <v>168</v>
      </c>
      <c r="CV81" s="86"/>
      <c r="CW81" s="86" t="str">
        <f>IF(ISBLANK(数据源!AU106),"",数据源!AU106)</f>
        <v/>
      </c>
      <c r="DA81" s="97">
        <f>IF(数据源!L106&lt;&gt;"QA",0,数据源!O106)</f>
        <v>0</v>
      </c>
      <c r="DB81" s="97">
        <f>数据源!M106</f>
        <v>0</v>
      </c>
      <c r="DC81" s="97">
        <f>数据源!N106</f>
        <v>0</v>
      </c>
      <c r="DD81" s="97">
        <f>IF(数据源!L106&lt;&gt;"QC",0,数据源!O106)</f>
        <v>0</v>
      </c>
    </row>
    <row r="82" spans="1:108">
      <c r="A82" s="1" t="str">
        <f>IF(数据源!K107="外检","#","")</f>
        <v/>
      </c>
      <c r="B82" s="2" t="str">
        <f>IF(ISBLANK(数据源!B107),"",数据源!B107)</f>
        <v/>
      </c>
      <c r="C82" s="2" t="str">
        <f>IF(ISBLANK(数据源!C107),"",IF(数据源!C107="/",数据源!F107,数据源!C107))</f>
        <v/>
      </c>
      <c r="D82" s="2" t="str">
        <f>IF(LEN(数据源!P107)=0,IF(LEN(数据源!D107)=0,"",数据源!D107),数据源!P107)</f>
        <v/>
      </c>
      <c r="E82" s="2"/>
      <c r="F82" s="2" t="str">
        <f>IF(ISBLANK(数据源!E107),"",数据源!E107)</f>
        <v/>
      </c>
      <c r="G82" s="2" t="str">
        <f>IF(ISBLANK(数据源!G107),"",IF(数据源!G107="A","合格","不合格"))</f>
        <v/>
      </c>
      <c r="H82" s="2" t="str">
        <f>IF(ISBLANK(数据源!H107),"",数据源!H107)</f>
        <v/>
      </c>
      <c r="I82" s="2" t="str">
        <f>IF(ISBLANK(数据源!J107),"",数据源!J107)</f>
        <v/>
      </c>
      <c r="J82" s="2" t="str">
        <f>IF(ISBLANK(数据源!L107),"",数据源!L107)</f>
        <v/>
      </c>
      <c r="K82" s="1" t="str">
        <f>IF(数据源!AD107="外检","#","")</f>
        <v/>
      </c>
      <c r="L82" s="2" t="str">
        <f>IF(ISBLANK(数据源!U107),"",数据源!U107)</f>
        <v/>
      </c>
      <c r="M82" s="2" t="str">
        <f>IF(ISBLANK(数据源!V107),"",IF(数据源!V107="/",数据源!Y107,数据源!V107))</f>
        <v/>
      </c>
      <c r="N82" s="2" t="str">
        <f>IF(LEN(数据源!AI107)=0,IF(LEN(数据源!W107)=0,"",数据源!W107),数据源!AI107)</f>
        <v/>
      </c>
      <c r="O82" s="1"/>
      <c r="P82" s="2" t="str">
        <f>IF(ISBLANK(数据源!X107),"",数据源!X107)</f>
        <v/>
      </c>
      <c r="Q82" s="2" t="str">
        <f>IF(ISBLANK(数据源!Z107),"",IF(数据源!Z107="A","合格","不合格"))</f>
        <v/>
      </c>
      <c r="R82" s="2" t="str">
        <f>IF(ISBLANK(数据源!AA107),"",数据源!AA107)</f>
        <v/>
      </c>
      <c r="S82" s="2" t="str">
        <f>IF(ISBLANK(数据源!AC107),"",数据源!AC107)</f>
        <v/>
      </c>
      <c r="T82" s="2" t="str">
        <f>IF(ISBLANK(数据源!AE107),"",数据源!AE107)</f>
        <v/>
      </c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W82" s="1" t="str">
        <f>IF(数据源!K107="外检","#","")</f>
        <v/>
      </c>
      <c r="AX82" s="2" t="str">
        <f>IF(ISBLANK(数据源!Q107),"",数据源!Q107)</f>
        <v/>
      </c>
      <c r="AY82" s="2" t="str">
        <f>IF(ISBLANK(数据源!R107),"",数据源!R107)</f>
        <v/>
      </c>
      <c r="AZ82" s="2" t="str">
        <f>IF(LEN(数据源!P107)=0,IF(LEN(数据源!D107)=0,"",数据源!D107),数据源!P107)</f>
        <v/>
      </c>
      <c r="BA82" s="2"/>
      <c r="BB82" s="2" t="str">
        <f>IF(ISBLANK(数据源!E107),"",数据源!E107)</f>
        <v/>
      </c>
      <c r="BC82" s="2" t="str">
        <f>IF(ISBLANK(数据源!G107),"",IF(数据源!G107="A","Qualified","Unqualified"))</f>
        <v/>
      </c>
      <c r="BD82" s="2" t="str">
        <f>IF(ISBLANK(数据源!S107),"",数据源!S107)</f>
        <v/>
      </c>
      <c r="BE82" s="2" t="str">
        <f>IF(ISBLANK(数据源!J107),"",数据源!J107)</f>
        <v/>
      </c>
      <c r="BF82" s="2" t="str">
        <f>IF(ISBLANK(数据源!L107),"",数据源!L107)</f>
        <v/>
      </c>
      <c r="BG82" s="1" t="str">
        <f>IF(数据源!AD107="外检","#","")</f>
        <v/>
      </c>
      <c r="BH82" s="2" t="str">
        <f>IF(ISBLANK(数据源!AJ107),"",数据源!AJ107)</f>
        <v/>
      </c>
      <c r="BI82" s="2" t="str">
        <f>IF(ISBLANK(数据源!AK107),"",数据源!AK107)</f>
        <v/>
      </c>
      <c r="BJ82" s="2" t="str">
        <f>IF(LEN(数据源!AI107)=0,IF(LEN(数据源!W107)=0,"",数据源!W107),数据源!AI107)</f>
        <v/>
      </c>
      <c r="BK82" s="1"/>
      <c r="BL82" s="2" t="str">
        <f>IF(ISBLANK(数据源!X107),"",数据源!X107)</f>
        <v/>
      </c>
      <c r="BM82" s="2" t="str">
        <f>IF(ISBLANK(数据源!Z107),"",IF(数据源!Z107="A","Qualified","Unqualified"))</f>
        <v/>
      </c>
      <c r="BN82" s="2" t="str">
        <f>IF(ISBLANK(数据源!AL107),"",数据源!AL107)</f>
        <v/>
      </c>
      <c r="BO82" s="2" t="str">
        <f>IF(ISBLANK(数据源!AC107),"",数据源!AC107)</f>
        <v/>
      </c>
      <c r="BP82" s="2" t="str">
        <f>IF(ISBLANK(数据源!AE107),"",数据源!AE107)</f>
        <v/>
      </c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86" t="str">
        <f>IF(ISBLANK(数据源!AW107),"",数据源!AW107)</f>
        <v/>
      </c>
      <c r="CQ82" s="86"/>
      <c r="CR82" s="86" t="str">
        <f>IF(ISBLANK(数据源!AX107),"",数据源!AX107)</f>
        <v/>
      </c>
      <c r="CS82" s="86" t="str">
        <f>IF(ISBLANK(数据源!AV107),"",数据源!AV107)</f>
        <v/>
      </c>
      <c r="CT82" s="86"/>
      <c r="CU82" s="87" t="s">
        <v>168</v>
      </c>
      <c r="CV82" s="86"/>
      <c r="CW82" s="86" t="str">
        <f>IF(ISBLANK(数据源!AU107),"",数据源!AU107)</f>
        <v/>
      </c>
      <c r="DA82" s="97">
        <f>IF(数据源!L107&lt;&gt;"QA",0,数据源!O107)</f>
        <v>0</v>
      </c>
      <c r="DB82" s="97">
        <f>数据源!M107</f>
        <v>0</v>
      </c>
      <c r="DC82" s="97">
        <f>数据源!N107</f>
        <v>0</v>
      </c>
      <c r="DD82" s="97">
        <f>IF(数据源!L107&lt;&gt;"QC",0,数据源!O107)</f>
        <v>0</v>
      </c>
    </row>
    <row r="83" spans="1:108">
      <c r="A83" s="1" t="str">
        <f>IF(数据源!K108="外检","#","")</f>
        <v/>
      </c>
      <c r="B83" s="2" t="str">
        <f>IF(ISBLANK(数据源!B108),"",数据源!B108)</f>
        <v/>
      </c>
      <c r="C83" s="2" t="str">
        <f>IF(ISBLANK(数据源!C108),"",IF(数据源!C108="/",数据源!F108,数据源!C108))</f>
        <v/>
      </c>
      <c r="D83" s="2" t="str">
        <f>IF(LEN(数据源!P108)=0,IF(LEN(数据源!D108)=0,"",数据源!D108),数据源!P108)</f>
        <v/>
      </c>
      <c r="E83" s="2"/>
      <c r="F83" s="2" t="str">
        <f>IF(ISBLANK(数据源!E108),"",数据源!E108)</f>
        <v/>
      </c>
      <c r="G83" s="2" t="str">
        <f>IF(ISBLANK(数据源!G108),"",IF(数据源!G108="A","合格","不合格"))</f>
        <v/>
      </c>
      <c r="H83" s="2" t="str">
        <f>IF(ISBLANK(数据源!H108),"",数据源!H108)</f>
        <v/>
      </c>
      <c r="I83" s="2" t="str">
        <f>IF(ISBLANK(数据源!J108),"",数据源!J108)</f>
        <v/>
      </c>
      <c r="J83" s="2" t="str">
        <f>IF(ISBLANK(数据源!L108),"",数据源!L108)</f>
        <v/>
      </c>
      <c r="K83" s="1" t="str">
        <f>IF(数据源!AD108="外检","#","")</f>
        <v/>
      </c>
      <c r="L83" s="2" t="str">
        <f>IF(ISBLANK(数据源!U108),"",数据源!U108)</f>
        <v/>
      </c>
      <c r="M83" s="2" t="str">
        <f>IF(ISBLANK(数据源!V108),"",IF(数据源!V108="/",数据源!Y108,数据源!V108))</f>
        <v/>
      </c>
      <c r="N83" s="2" t="str">
        <f>IF(LEN(数据源!AI108)=0,IF(LEN(数据源!W108)=0,"",数据源!W108),数据源!AI108)</f>
        <v/>
      </c>
      <c r="O83" s="1"/>
      <c r="P83" s="2" t="str">
        <f>IF(ISBLANK(数据源!X108),"",数据源!X108)</f>
        <v/>
      </c>
      <c r="Q83" s="2" t="str">
        <f>IF(ISBLANK(数据源!Z108),"",IF(数据源!Z108="A","合格","不合格"))</f>
        <v/>
      </c>
      <c r="R83" s="2" t="str">
        <f>IF(ISBLANK(数据源!AA108),"",数据源!AA108)</f>
        <v/>
      </c>
      <c r="S83" s="2" t="str">
        <f>IF(ISBLANK(数据源!AC108),"",数据源!AC108)</f>
        <v/>
      </c>
      <c r="T83" s="2" t="str">
        <f>IF(ISBLANK(数据源!AE108),"",数据源!AE108)</f>
        <v/>
      </c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W83" s="1" t="str">
        <f>IF(数据源!K108="外检","#","")</f>
        <v/>
      </c>
      <c r="AX83" s="2" t="str">
        <f>IF(ISBLANK(数据源!Q108),"",数据源!Q108)</f>
        <v/>
      </c>
      <c r="AY83" s="2" t="str">
        <f>IF(ISBLANK(数据源!R108),"",数据源!R108)</f>
        <v/>
      </c>
      <c r="AZ83" s="2" t="str">
        <f>IF(LEN(数据源!P108)=0,IF(LEN(数据源!D108)=0,"",数据源!D108),数据源!P108)</f>
        <v/>
      </c>
      <c r="BA83" s="2"/>
      <c r="BB83" s="2" t="str">
        <f>IF(ISBLANK(数据源!E108),"",数据源!E108)</f>
        <v/>
      </c>
      <c r="BC83" s="2" t="str">
        <f>IF(ISBLANK(数据源!G108),"",IF(数据源!G108="A","Qualified","Unqualified"))</f>
        <v/>
      </c>
      <c r="BD83" s="2" t="str">
        <f>IF(ISBLANK(数据源!S108),"",数据源!S108)</f>
        <v/>
      </c>
      <c r="BE83" s="2" t="str">
        <f>IF(ISBLANK(数据源!J108),"",数据源!J108)</f>
        <v/>
      </c>
      <c r="BF83" s="2" t="str">
        <f>IF(ISBLANK(数据源!L108),"",数据源!L108)</f>
        <v/>
      </c>
      <c r="BG83" s="1" t="str">
        <f>IF(数据源!AD108="外检","#","")</f>
        <v/>
      </c>
      <c r="BH83" s="2" t="str">
        <f>IF(ISBLANK(数据源!AJ108),"",数据源!AJ108)</f>
        <v/>
      </c>
      <c r="BI83" s="2" t="str">
        <f>IF(ISBLANK(数据源!AK108),"",数据源!AK108)</f>
        <v/>
      </c>
      <c r="BJ83" s="2" t="str">
        <f>IF(LEN(数据源!AI108)=0,IF(LEN(数据源!W108)=0,"",数据源!W108),数据源!AI108)</f>
        <v/>
      </c>
      <c r="BK83" s="1"/>
      <c r="BL83" s="2" t="str">
        <f>IF(ISBLANK(数据源!X108),"",数据源!X108)</f>
        <v/>
      </c>
      <c r="BM83" s="2" t="str">
        <f>IF(ISBLANK(数据源!Z108),"",IF(数据源!Z108="A","Qualified","Unqualified"))</f>
        <v/>
      </c>
      <c r="BN83" s="2" t="str">
        <f>IF(ISBLANK(数据源!AL108),"",数据源!AL108)</f>
        <v/>
      </c>
      <c r="BO83" s="2" t="str">
        <f>IF(ISBLANK(数据源!AC108),"",数据源!AC108)</f>
        <v/>
      </c>
      <c r="BP83" s="2" t="str">
        <f>IF(ISBLANK(数据源!AE108),"",数据源!AE108)</f>
        <v/>
      </c>
      <c r="BV83" s="97"/>
      <c r="BW83" s="97"/>
      <c r="BX83" s="97"/>
      <c r="BY83" s="97"/>
      <c r="BZ83" s="97"/>
      <c r="CA83" s="97"/>
      <c r="CB83" s="97"/>
      <c r="CC83" s="97"/>
      <c r="CD83" s="97"/>
      <c r="CE83" s="97"/>
      <c r="CF83" s="97"/>
      <c r="CG83" s="97"/>
      <c r="CH83" s="97"/>
      <c r="CI83" s="97"/>
      <c r="CJ83" s="97"/>
      <c r="CK83" s="97"/>
      <c r="CL83" s="97"/>
      <c r="CM83" s="97"/>
      <c r="CN83" s="97"/>
      <c r="CO83" s="97"/>
      <c r="CP83" s="86" t="str">
        <f>IF(ISBLANK(数据源!AW108),"",数据源!AW108)</f>
        <v/>
      </c>
      <c r="CQ83" s="86"/>
      <c r="CR83" s="86" t="str">
        <f>IF(ISBLANK(数据源!AX108),"",数据源!AX108)</f>
        <v/>
      </c>
      <c r="CS83" s="86" t="str">
        <f>IF(ISBLANK(数据源!AV108),"",数据源!AV108)</f>
        <v/>
      </c>
      <c r="CT83" s="86"/>
      <c r="CU83" s="87" t="s">
        <v>168</v>
      </c>
      <c r="CV83" s="86"/>
      <c r="CW83" s="86" t="str">
        <f>IF(ISBLANK(数据源!AU108),"",数据源!AU108)</f>
        <v/>
      </c>
      <c r="DA83" s="97">
        <f>IF(数据源!L108&lt;&gt;"QA",0,数据源!O108)</f>
        <v>0</v>
      </c>
      <c r="DB83" s="97">
        <f>数据源!M108</f>
        <v>0</v>
      </c>
      <c r="DC83" s="97">
        <f>数据源!N108</f>
        <v>0</v>
      </c>
      <c r="DD83" s="97">
        <f>IF(数据源!L108&lt;&gt;"QC",0,数据源!O108)</f>
        <v>0</v>
      </c>
    </row>
    <row r="84" spans="1:108">
      <c r="A84" s="1" t="str">
        <f>IF(数据源!K109="外检","#","")</f>
        <v/>
      </c>
      <c r="B84" s="2" t="str">
        <f>IF(ISBLANK(数据源!B109),"",数据源!B109)</f>
        <v/>
      </c>
      <c r="C84" s="2" t="str">
        <f>IF(ISBLANK(数据源!C109),"",IF(数据源!C109="/",数据源!F109,数据源!C109))</f>
        <v/>
      </c>
      <c r="D84" s="2" t="str">
        <f>IF(LEN(数据源!P109)=0,IF(LEN(数据源!D109)=0,"",数据源!D109),数据源!P109)</f>
        <v/>
      </c>
      <c r="E84" s="2"/>
      <c r="F84" s="2" t="str">
        <f>IF(ISBLANK(数据源!E109),"",数据源!E109)</f>
        <v/>
      </c>
      <c r="G84" s="2" t="str">
        <f>IF(ISBLANK(数据源!G109),"",IF(数据源!G109="A","合格","不合格"))</f>
        <v/>
      </c>
      <c r="H84" s="2" t="str">
        <f>IF(ISBLANK(数据源!H109),"",数据源!H109)</f>
        <v/>
      </c>
      <c r="I84" s="2" t="str">
        <f>IF(ISBLANK(数据源!J109),"",数据源!J109)</f>
        <v/>
      </c>
      <c r="J84" s="2" t="str">
        <f>IF(ISBLANK(数据源!L109),"",数据源!L109)</f>
        <v/>
      </c>
      <c r="K84" s="1" t="str">
        <f>IF(数据源!AD109="外检","#","")</f>
        <v/>
      </c>
      <c r="L84" s="2" t="str">
        <f>IF(ISBLANK(数据源!U109),"",数据源!U109)</f>
        <v/>
      </c>
      <c r="M84" s="2" t="str">
        <f>IF(ISBLANK(数据源!V109),"",IF(数据源!V109="/",数据源!Y109,数据源!V109))</f>
        <v/>
      </c>
      <c r="N84" s="2" t="str">
        <f>IF(LEN(数据源!AI109)=0,IF(LEN(数据源!W109)=0,"",数据源!W109),数据源!AI109)</f>
        <v/>
      </c>
      <c r="O84" s="1"/>
      <c r="P84" s="2" t="str">
        <f>IF(ISBLANK(数据源!X109),"",数据源!X109)</f>
        <v/>
      </c>
      <c r="Q84" s="2" t="str">
        <f>IF(ISBLANK(数据源!Z109),"",IF(数据源!Z109="A","合格","不合格"))</f>
        <v/>
      </c>
      <c r="R84" s="2" t="str">
        <f>IF(ISBLANK(数据源!AA109),"",数据源!AA109)</f>
        <v/>
      </c>
      <c r="S84" s="2" t="str">
        <f>IF(ISBLANK(数据源!AC109),"",数据源!AC109)</f>
        <v/>
      </c>
      <c r="T84" s="2" t="str">
        <f>IF(ISBLANK(数据源!AE109),"",数据源!AE109)</f>
        <v/>
      </c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1" t="str">
        <f>IF(数据源!K109="外检","#","")</f>
        <v/>
      </c>
      <c r="AX84" s="2" t="str">
        <f>IF(ISBLANK(数据源!Q109),"",数据源!Q109)</f>
        <v/>
      </c>
      <c r="AY84" s="2" t="str">
        <f>IF(ISBLANK(数据源!R109),"",数据源!R109)</f>
        <v/>
      </c>
      <c r="AZ84" s="2" t="str">
        <f>IF(LEN(数据源!P109)=0,IF(LEN(数据源!D109)=0,"",数据源!D109),数据源!P109)</f>
        <v/>
      </c>
      <c r="BA84" s="2"/>
      <c r="BB84" s="2" t="str">
        <f>IF(ISBLANK(数据源!E109),"",数据源!E109)</f>
        <v/>
      </c>
      <c r="BC84" s="2" t="str">
        <f>IF(ISBLANK(数据源!G109),"",IF(数据源!G109="A","Qualified","Unqualified"))</f>
        <v/>
      </c>
      <c r="BD84" s="2" t="str">
        <f>IF(ISBLANK(数据源!S109),"",数据源!S109)</f>
        <v/>
      </c>
      <c r="BE84" s="2" t="str">
        <f>IF(ISBLANK(数据源!J109),"",数据源!J109)</f>
        <v/>
      </c>
      <c r="BF84" s="2" t="str">
        <f>IF(ISBLANK(数据源!L109),"",数据源!L109)</f>
        <v/>
      </c>
      <c r="BG84" s="1" t="str">
        <f>IF(数据源!AD109="外检","#","")</f>
        <v/>
      </c>
      <c r="BH84" s="2" t="str">
        <f>IF(ISBLANK(数据源!AJ109),"",数据源!AJ109)</f>
        <v/>
      </c>
      <c r="BI84" s="2" t="str">
        <f>IF(ISBLANK(数据源!AK109),"",数据源!AK109)</f>
        <v/>
      </c>
      <c r="BJ84" s="2" t="str">
        <f>IF(LEN(数据源!AI109)=0,IF(LEN(数据源!W109)=0,"",数据源!W109),数据源!AI109)</f>
        <v/>
      </c>
      <c r="BK84" s="1"/>
      <c r="BL84" s="2" t="str">
        <f>IF(ISBLANK(数据源!X109),"",数据源!X109)</f>
        <v/>
      </c>
      <c r="BM84" s="2" t="str">
        <f>IF(ISBLANK(数据源!Z109),"",IF(数据源!Z109="A","Qualified","Unqualified"))</f>
        <v/>
      </c>
      <c r="BN84" s="2" t="str">
        <f>IF(ISBLANK(数据源!AL109),"",数据源!AL109)</f>
        <v/>
      </c>
      <c r="BO84" s="2" t="str">
        <f>IF(ISBLANK(数据源!AC109),"",数据源!AC109)</f>
        <v/>
      </c>
      <c r="BP84" s="2" t="str">
        <f>IF(ISBLANK(数据源!AE109),"",数据源!AE109)</f>
        <v/>
      </c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  <c r="CD84" s="97"/>
      <c r="CE84" s="97"/>
      <c r="CF84" s="97"/>
      <c r="CG84" s="97"/>
      <c r="CH84" s="97"/>
      <c r="CI84" s="97"/>
      <c r="CJ84" s="97"/>
      <c r="CK84" s="97"/>
      <c r="CL84" s="97"/>
      <c r="CM84" s="97"/>
      <c r="CN84" s="97"/>
      <c r="CO84" s="97"/>
      <c r="CP84" s="86" t="str">
        <f>IF(ISBLANK(数据源!AW109),"",数据源!AW109)</f>
        <v/>
      </c>
      <c r="CQ84" s="86"/>
      <c r="CR84" s="86" t="str">
        <f>IF(ISBLANK(数据源!AX109),"",数据源!AX109)</f>
        <v/>
      </c>
      <c r="CS84" s="86" t="str">
        <f>IF(ISBLANK(数据源!AV109),"",数据源!AV109)</f>
        <v/>
      </c>
      <c r="CT84" s="86"/>
      <c r="CU84" s="97" t="s">
        <v>168</v>
      </c>
      <c r="CV84" s="86"/>
      <c r="CW84" s="86" t="str">
        <f>IF(ISBLANK(数据源!AU109),"",数据源!AU109)</f>
        <v/>
      </c>
      <c r="CX84" s="97"/>
      <c r="CY84" s="97"/>
      <c r="CZ84" s="97"/>
      <c r="DA84" s="97">
        <f>IF(数据源!L109&lt;&gt;"QA",0,数据源!O109)</f>
        <v>0</v>
      </c>
      <c r="DB84" s="97">
        <f>数据源!M109</f>
        <v>0</v>
      </c>
      <c r="DC84" s="97">
        <f>数据源!N109</f>
        <v>0</v>
      </c>
      <c r="DD84" s="97">
        <f>IF(数据源!L109&lt;&gt;"QC",0,数据源!O109)</f>
        <v>0</v>
      </c>
    </row>
    <row r="85" spans="1:108">
      <c r="A85" s="1" t="str">
        <f>IF(数据源!K110="外检","#","")</f>
        <v/>
      </c>
      <c r="B85" s="2" t="str">
        <f>IF(ISBLANK(数据源!B110),"",数据源!B110)</f>
        <v/>
      </c>
      <c r="C85" s="2" t="str">
        <f>IF(ISBLANK(数据源!C110),"",IF(数据源!C110="/",数据源!F110,数据源!C110))</f>
        <v/>
      </c>
      <c r="D85" s="2" t="str">
        <f>IF(LEN(数据源!P110)=0,IF(LEN(数据源!D110)=0,"",数据源!D110),数据源!P110)</f>
        <v/>
      </c>
      <c r="E85" s="2"/>
      <c r="F85" s="2" t="str">
        <f>IF(ISBLANK(数据源!E110),"",数据源!E110)</f>
        <v/>
      </c>
      <c r="G85" s="2" t="str">
        <f>IF(ISBLANK(数据源!G110),"",IF(数据源!G110="A","合格","不合格"))</f>
        <v/>
      </c>
      <c r="H85" s="2" t="str">
        <f>IF(ISBLANK(数据源!H110),"",数据源!H110)</f>
        <v/>
      </c>
      <c r="I85" s="2" t="str">
        <f>IF(ISBLANK(数据源!J110),"",数据源!J110)</f>
        <v/>
      </c>
      <c r="J85" s="2" t="str">
        <f>IF(ISBLANK(数据源!L110),"",数据源!L110)</f>
        <v/>
      </c>
      <c r="K85" s="1" t="str">
        <f>IF(数据源!AD110="外检","#","")</f>
        <v/>
      </c>
      <c r="L85" s="2" t="str">
        <f>IF(ISBLANK(数据源!U110),"",数据源!U110)</f>
        <v/>
      </c>
      <c r="M85" s="2" t="str">
        <f>IF(ISBLANK(数据源!V110),"",IF(数据源!V110="/",数据源!Y110,数据源!V110))</f>
        <v/>
      </c>
      <c r="N85" s="2" t="str">
        <f>IF(LEN(数据源!AI110)=0,IF(LEN(数据源!W110)=0,"",数据源!W110),数据源!AI110)</f>
        <v/>
      </c>
      <c r="O85" s="1"/>
      <c r="P85" s="2" t="str">
        <f>IF(ISBLANK(数据源!X110),"",数据源!X110)</f>
        <v/>
      </c>
      <c r="Q85" s="2" t="str">
        <f>IF(ISBLANK(数据源!Z110),"",IF(数据源!Z110="A","合格","不合格"))</f>
        <v/>
      </c>
      <c r="R85" s="2" t="str">
        <f>IF(ISBLANK(数据源!AA110),"",数据源!AA110)</f>
        <v/>
      </c>
      <c r="S85" s="2" t="str">
        <f>IF(ISBLANK(数据源!AC110),"",数据源!AC110)</f>
        <v/>
      </c>
      <c r="T85" s="2" t="str">
        <f>IF(ISBLANK(数据源!AE110),"",数据源!AE110)</f>
        <v/>
      </c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1" t="str">
        <f>IF(数据源!K110="外检","#","")</f>
        <v/>
      </c>
      <c r="AX85" s="2" t="str">
        <f>IF(ISBLANK(数据源!Q110),"",数据源!Q110)</f>
        <v/>
      </c>
      <c r="AY85" s="2" t="str">
        <f>IF(ISBLANK(数据源!R110),"",数据源!R110)</f>
        <v/>
      </c>
      <c r="AZ85" s="2" t="str">
        <f>IF(LEN(数据源!P110)=0,IF(LEN(数据源!D110)=0,"",数据源!D110),数据源!P110)</f>
        <v/>
      </c>
      <c r="BA85" s="2"/>
      <c r="BB85" s="2" t="str">
        <f>IF(ISBLANK(数据源!E110),"",数据源!E110)</f>
        <v/>
      </c>
      <c r="BC85" s="2" t="str">
        <f>IF(ISBLANK(数据源!G110),"",IF(数据源!G110="A","Qualified","Unqualified"))</f>
        <v/>
      </c>
      <c r="BD85" s="2" t="str">
        <f>IF(ISBLANK(数据源!S110),"",数据源!S110)</f>
        <v/>
      </c>
      <c r="BE85" s="2" t="str">
        <f>IF(ISBLANK(数据源!J110),"",数据源!J110)</f>
        <v/>
      </c>
      <c r="BF85" s="2" t="str">
        <f>IF(ISBLANK(数据源!L110),"",数据源!L110)</f>
        <v/>
      </c>
      <c r="BG85" s="1" t="str">
        <f>IF(数据源!AD110="外检","#","")</f>
        <v/>
      </c>
      <c r="BH85" s="2" t="str">
        <f>IF(ISBLANK(数据源!AJ110),"",数据源!AJ110)</f>
        <v/>
      </c>
      <c r="BI85" s="2" t="str">
        <f>IF(ISBLANK(数据源!AK110),"",数据源!AK110)</f>
        <v/>
      </c>
      <c r="BJ85" s="2" t="str">
        <f>IF(LEN(数据源!AI110)=0,IF(LEN(数据源!W110)=0,"",数据源!W110),数据源!AI110)</f>
        <v/>
      </c>
      <c r="BK85" s="1"/>
      <c r="BL85" s="2" t="str">
        <f>IF(ISBLANK(数据源!X110),"",数据源!X110)</f>
        <v/>
      </c>
      <c r="BM85" s="2" t="str">
        <f>IF(ISBLANK(数据源!Z110),"",IF(数据源!Z110="A","Qualified","Unqualified"))</f>
        <v/>
      </c>
      <c r="BN85" s="2" t="str">
        <f>IF(ISBLANK(数据源!AL110),"",数据源!AL110)</f>
        <v/>
      </c>
      <c r="BO85" s="2" t="str">
        <f>IF(ISBLANK(数据源!AC110),"",数据源!AC110)</f>
        <v/>
      </c>
      <c r="BP85" s="2" t="str">
        <f>IF(ISBLANK(数据源!AE110),"",数据源!AE110)</f>
        <v/>
      </c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86" t="str">
        <f>IF(ISBLANK(数据源!AW110),"",数据源!AW110)</f>
        <v/>
      </c>
      <c r="CQ85" s="86"/>
      <c r="CR85" s="86" t="str">
        <f>IF(ISBLANK(数据源!AX110),"",数据源!AX110)</f>
        <v/>
      </c>
      <c r="CS85" s="86" t="str">
        <f>IF(ISBLANK(数据源!AV110),"",数据源!AV110)</f>
        <v/>
      </c>
      <c r="CT85" s="86"/>
      <c r="CU85" s="97" t="s">
        <v>168</v>
      </c>
      <c r="CV85" s="86"/>
      <c r="CW85" s="86" t="str">
        <f>IF(ISBLANK(数据源!AU110),"",数据源!AU110)</f>
        <v/>
      </c>
      <c r="CX85" s="97"/>
      <c r="CY85" s="97"/>
      <c r="CZ85" s="97"/>
      <c r="DA85" s="97">
        <f>IF(数据源!L110&lt;&gt;"QA",0,数据源!O110)</f>
        <v>0</v>
      </c>
      <c r="DB85" s="97">
        <f>数据源!M110</f>
        <v>0</v>
      </c>
      <c r="DC85" s="97">
        <f>数据源!N110</f>
        <v>0</v>
      </c>
      <c r="DD85" s="97">
        <f>IF(数据源!L110&lt;&gt;"QC",0,数据源!O110)</f>
        <v>0</v>
      </c>
    </row>
    <row r="86" spans="1:108">
      <c r="A86" s="1" t="str">
        <f>IF(数据源!K111="外检","#","")</f>
        <v/>
      </c>
      <c r="B86" s="2" t="str">
        <f>IF(ISBLANK(数据源!B111),"",数据源!B111)</f>
        <v/>
      </c>
      <c r="C86" s="2" t="str">
        <f>IF(ISBLANK(数据源!C111),"",IF(数据源!C111="/",数据源!F111,数据源!C111))</f>
        <v/>
      </c>
      <c r="D86" s="2" t="str">
        <f>IF(LEN(数据源!P111)=0,IF(LEN(数据源!D111)=0,"",数据源!D111),数据源!P111)</f>
        <v/>
      </c>
      <c r="E86" s="2"/>
      <c r="F86" s="2" t="str">
        <f>IF(ISBLANK(数据源!E111),"",数据源!E111)</f>
        <v/>
      </c>
      <c r="G86" s="2" t="str">
        <f>IF(ISBLANK(数据源!G111),"",IF(数据源!G111="A","合格","不合格"))</f>
        <v/>
      </c>
      <c r="H86" s="2" t="str">
        <f>IF(ISBLANK(数据源!H111),"",数据源!H111)</f>
        <v/>
      </c>
      <c r="I86" s="2" t="str">
        <f>IF(ISBLANK(数据源!J111),"",数据源!J111)</f>
        <v/>
      </c>
      <c r="J86" s="2" t="str">
        <f>IF(ISBLANK(数据源!L111),"",数据源!L111)</f>
        <v/>
      </c>
      <c r="K86" s="1" t="str">
        <f>IF(数据源!AD111="外检","#","")</f>
        <v/>
      </c>
      <c r="L86" s="2" t="str">
        <f>IF(ISBLANK(数据源!U111),"",数据源!U111)</f>
        <v/>
      </c>
      <c r="M86" s="2" t="str">
        <f>IF(ISBLANK(数据源!V111),"",IF(数据源!V111="/",数据源!Y111,数据源!V111))</f>
        <v/>
      </c>
      <c r="N86" s="2" t="str">
        <f>IF(LEN(数据源!AI111)=0,IF(LEN(数据源!W111)=0,"",数据源!W111),数据源!AI111)</f>
        <v/>
      </c>
      <c r="O86" s="1"/>
      <c r="P86" s="2" t="str">
        <f>IF(ISBLANK(数据源!X111),"",数据源!X111)</f>
        <v/>
      </c>
      <c r="Q86" s="2" t="str">
        <f>IF(ISBLANK(数据源!Z111),"",IF(数据源!Z111="A","合格","不合格"))</f>
        <v/>
      </c>
      <c r="R86" s="2" t="str">
        <f>IF(ISBLANK(数据源!AA111),"",数据源!AA111)</f>
        <v/>
      </c>
      <c r="S86" s="2" t="str">
        <f>IF(ISBLANK(数据源!AC111),"",数据源!AC111)</f>
        <v/>
      </c>
      <c r="T86" s="2" t="str">
        <f>IF(ISBLANK(数据源!AE111),"",数据源!AE111)</f>
        <v/>
      </c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1" t="str">
        <f>IF(数据源!K111="外检","#","")</f>
        <v/>
      </c>
      <c r="AX86" s="2" t="str">
        <f>IF(ISBLANK(数据源!Q111),"",数据源!Q111)</f>
        <v/>
      </c>
      <c r="AY86" s="2" t="str">
        <f>IF(ISBLANK(数据源!R111),"",数据源!R111)</f>
        <v/>
      </c>
      <c r="AZ86" s="2" t="str">
        <f>IF(LEN(数据源!P111)=0,IF(LEN(数据源!D111)=0,"",数据源!D111),数据源!P111)</f>
        <v/>
      </c>
      <c r="BA86" s="2"/>
      <c r="BB86" s="2" t="str">
        <f>IF(ISBLANK(数据源!E111),"",数据源!E111)</f>
        <v/>
      </c>
      <c r="BC86" s="2" t="str">
        <f>IF(ISBLANK(数据源!G111),"",IF(数据源!G111="A","Qualified","Unqualified"))</f>
        <v/>
      </c>
      <c r="BD86" s="2" t="str">
        <f>IF(ISBLANK(数据源!S111),"",数据源!S111)</f>
        <v/>
      </c>
      <c r="BE86" s="2" t="str">
        <f>IF(ISBLANK(数据源!J111),"",数据源!J111)</f>
        <v/>
      </c>
      <c r="BF86" s="2" t="str">
        <f>IF(ISBLANK(数据源!L111),"",数据源!L111)</f>
        <v/>
      </c>
      <c r="BG86" s="1" t="str">
        <f>IF(数据源!AD111="外检","#","")</f>
        <v/>
      </c>
      <c r="BH86" s="2" t="str">
        <f>IF(ISBLANK(数据源!AJ111),"",数据源!AJ111)</f>
        <v/>
      </c>
      <c r="BI86" s="2" t="str">
        <f>IF(ISBLANK(数据源!AK111),"",数据源!AK111)</f>
        <v/>
      </c>
      <c r="BJ86" s="2" t="str">
        <f>IF(LEN(数据源!AI111)=0,IF(LEN(数据源!W111)=0,"",数据源!W111),数据源!AI111)</f>
        <v/>
      </c>
      <c r="BK86" s="1"/>
      <c r="BL86" s="2" t="str">
        <f>IF(ISBLANK(数据源!X111),"",数据源!X111)</f>
        <v/>
      </c>
      <c r="BM86" s="2" t="str">
        <f>IF(ISBLANK(数据源!Z111),"",IF(数据源!Z111="A","Qualified","Unqualified"))</f>
        <v/>
      </c>
      <c r="BN86" s="2" t="str">
        <f>IF(ISBLANK(数据源!AL111),"",数据源!AL111)</f>
        <v/>
      </c>
      <c r="BO86" s="2" t="str">
        <f>IF(ISBLANK(数据源!AC111),"",数据源!AC111)</f>
        <v/>
      </c>
      <c r="BP86" s="2" t="str">
        <f>IF(ISBLANK(数据源!AE111),"",数据源!AE111)</f>
        <v/>
      </c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86" t="str">
        <f>IF(ISBLANK(数据源!AW111),"",数据源!AW111)</f>
        <v/>
      </c>
      <c r="CQ86" s="86"/>
      <c r="CR86" s="86" t="str">
        <f>IF(ISBLANK(数据源!AX111),"",数据源!AX111)</f>
        <v/>
      </c>
      <c r="CS86" s="86" t="str">
        <f>IF(ISBLANK(数据源!AV111),"",数据源!AV111)</f>
        <v/>
      </c>
      <c r="CT86" s="86"/>
      <c r="CU86" s="97" t="s">
        <v>168</v>
      </c>
      <c r="CV86" s="86"/>
      <c r="CW86" s="86" t="str">
        <f>IF(ISBLANK(数据源!AU111),"",数据源!AU111)</f>
        <v/>
      </c>
      <c r="CX86" s="97"/>
      <c r="CY86" s="97"/>
      <c r="CZ86" s="97"/>
      <c r="DA86" s="97">
        <f>IF(数据源!L111&lt;&gt;"QA",0,数据源!O111)</f>
        <v>0</v>
      </c>
      <c r="DB86" s="97">
        <f>数据源!M111</f>
        <v>0</v>
      </c>
      <c r="DC86" s="97">
        <f>数据源!N111</f>
        <v>0</v>
      </c>
      <c r="DD86" s="97">
        <f>IF(数据源!L111&lt;&gt;"QC",0,数据源!O111)</f>
        <v>0</v>
      </c>
    </row>
    <row r="87" spans="1:108">
      <c r="A87" s="1" t="str">
        <f>IF(数据源!K112="外检","#","")</f>
        <v/>
      </c>
      <c r="B87" s="2" t="str">
        <f>IF(ISBLANK(数据源!B112),"",数据源!B112)</f>
        <v/>
      </c>
      <c r="C87" s="2" t="str">
        <f>IF(ISBLANK(数据源!C112),"",IF(数据源!C112="/",数据源!F112,数据源!C112))</f>
        <v/>
      </c>
      <c r="D87" s="2" t="str">
        <f>IF(LEN(数据源!P112)=0,IF(LEN(数据源!D112)=0,"",数据源!D112),数据源!P112)</f>
        <v/>
      </c>
      <c r="E87" s="2"/>
      <c r="F87" s="2" t="str">
        <f>IF(ISBLANK(数据源!E112),"",数据源!E112)</f>
        <v/>
      </c>
      <c r="G87" s="2" t="str">
        <f>IF(ISBLANK(数据源!G112),"",IF(数据源!G112="A","合格","不合格"))</f>
        <v/>
      </c>
      <c r="H87" s="2" t="str">
        <f>IF(ISBLANK(数据源!H112),"",数据源!H112)</f>
        <v/>
      </c>
      <c r="I87" s="2" t="str">
        <f>IF(ISBLANK(数据源!J112),"",数据源!J112)</f>
        <v/>
      </c>
      <c r="J87" s="2" t="str">
        <f>IF(ISBLANK(数据源!L112),"",数据源!L112)</f>
        <v/>
      </c>
      <c r="K87" s="1" t="str">
        <f>IF(数据源!AD112="外检","#","")</f>
        <v/>
      </c>
      <c r="L87" s="2" t="str">
        <f>IF(ISBLANK(数据源!U112),"",数据源!U112)</f>
        <v/>
      </c>
      <c r="M87" s="2" t="str">
        <f>IF(ISBLANK(数据源!V112),"",IF(数据源!V112="/",数据源!Y112,数据源!V112))</f>
        <v/>
      </c>
      <c r="N87" s="2" t="str">
        <f>IF(LEN(数据源!AI112)=0,IF(LEN(数据源!W112)=0,"",数据源!W112),数据源!AI112)</f>
        <v/>
      </c>
      <c r="O87" s="1"/>
      <c r="P87" s="2" t="str">
        <f>IF(ISBLANK(数据源!X112),"",数据源!X112)</f>
        <v/>
      </c>
      <c r="Q87" s="2" t="str">
        <f>IF(ISBLANK(数据源!Z112),"",IF(数据源!Z112="A","合格","不合格"))</f>
        <v/>
      </c>
      <c r="R87" s="2" t="str">
        <f>IF(ISBLANK(数据源!AA112),"",数据源!AA112)</f>
        <v/>
      </c>
      <c r="S87" s="2" t="str">
        <f>IF(ISBLANK(数据源!AC112),"",数据源!AC112)</f>
        <v/>
      </c>
      <c r="T87" s="2" t="str">
        <f>IF(ISBLANK(数据源!AE112),"",数据源!AE112)</f>
        <v/>
      </c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1" t="str">
        <f>IF(数据源!K112="外检","#","")</f>
        <v/>
      </c>
      <c r="AX87" s="2" t="str">
        <f>IF(ISBLANK(数据源!Q112),"",数据源!Q112)</f>
        <v/>
      </c>
      <c r="AY87" s="2" t="str">
        <f>IF(ISBLANK(数据源!R112),"",数据源!R112)</f>
        <v/>
      </c>
      <c r="AZ87" s="2" t="str">
        <f>IF(LEN(数据源!P112)=0,IF(LEN(数据源!D112)=0,"",数据源!D112),数据源!P112)</f>
        <v/>
      </c>
      <c r="BA87" s="2"/>
      <c r="BB87" s="2" t="str">
        <f>IF(ISBLANK(数据源!E112),"",数据源!E112)</f>
        <v/>
      </c>
      <c r="BC87" s="2" t="str">
        <f>IF(ISBLANK(数据源!G112),"",IF(数据源!G112="A","Qualified","Unqualified"))</f>
        <v/>
      </c>
      <c r="BD87" s="2" t="str">
        <f>IF(ISBLANK(数据源!S112),"",数据源!S112)</f>
        <v/>
      </c>
      <c r="BE87" s="2" t="str">
        <f>IF(ISBLANK(数据源!J112),"",数据源!J112)</f>
        <v/>
      </c>
      <c r="BF87" s="2" t="str">
        <f>IF(ISBLANK(数据源!L112),"",数据源!L112)</f>
        <v/>
      </c>
      <c r="BG87" s="1" t="str">
        <f>IF(数据源!AD112="外检","#","")</f>
        <v/>
      </c>
      <c r="BH87" s="2" t="str">
        <f>IF(ISBLANK(数据源!AJ112),"",数据源!AJ112)</f>
        <v/>
      </c>
      <c r="BI87" s="2" t="str">
        <f>IF(ISBLANK(数据源!AK112),"",数据源!AK112)</f>
        <v/>
      </c>
      <c r="BJ87" s="2" t="str">
        <f>IF(LEN(数据源!AI112)=0,IF(LEN(数据源!W112)=0,"",数据源!W112),数据源!AI112)</f>
        <v/>
      </c>
      <c r="BK87" s="1"/>
      <c r="BL87" s="2" t="str">
        <f>IF(ISBLANK(数据源!X112),"",数据源!X112)</f>
        <v/>
      </c>
      <c r="BM87" s="2" t="str">
        <f>IF(ISBLANK(数据源!Z112),"",IF(数据源!Z112="A","Qualified","Unqualified"))</f>
        <v/>
      </c>
      <c r="BN87" s="2" t="str">
        <f>IF(ISBLANK(数据源!AL112),"",数据源!AL112)</f>
        <v/>
      </c>
      <c r="BO87" s="2" t="str">
        <f>IF(ISBLANK(数据源!AC112),"",数据源!AC112)</f>
        <v/>
      </c>
      <c r="BP87" s="2" t="str">
        <f>IF(ISBLANK(数据源!AE112),"",数据源!AE112)</f>
        <v/>
      </c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86" t="str">
        <f>IF(ISBLANK(数据源!AW112),"",数据源!AW112)</f>
        <v/>
      </c>
      <c r="CQ87" s="86"/>
      <c r="CR87" s="86" t="str">
        <f>IF(ISBLANK(数据源!AX112),"",数据源!AX112)</f>
        <v/>
      </c>
      <c r="CS87" s="86" t="str">
        <f>IF(ISBLANK(数据源!AV112),"",数据源!AV112)</f>
        <v/>
      </c>
      <c r="CT87" s="86"/>
      <c r="CU87" s="97" t="s">
        <v>168</v>
      </c>
      <c r="CV87" s="86"/>
      <c r="CW87" s="86" t="str">
        <f>IF(ISBLANK(数据源!AU112),"",数据源!AU112)</f>
        <v/>
      </c>
      <c r="CX87" s="97"/>
      <c r="CY87" s="97"/>
      <c r="CZ87" s="97"/>
      <c r="DA87" s="97">
        <f>IF(数据源!L112&lt;&gt;"QA",0,数据源!O112)</f>
        <v>0</v>
      </c>
      <c r="DB87" s="97">
        <f>数据源!M112</f>
        <v>0</v>
      </c>
      <c r="DC87" s="97">
        <f>数据源!N112</f>
        <v>0</v>
      </c>
      <c r="DD87" s="97">
        <f>IF(数据源!L112&lt;&gt;"QC",0,数据源!O112)</f>
        <v>0</v>
      </c>
    </row>
    <row r="88" spans="1:108">
      <c r="A88" s="1" t="str">
        <f>IF(数据源!K113="外检","#","")</f>
        <v/>
      </c>
      <c r="B88" s="2" t="str">
        <f>IF(ISBLANK(数据源!B113),"",数据源!B113)</f>
        <v/>
      </c>
      <c r="C88" s="2" t="str">
        <f>IF(ISBLANK(数据源!C113),"",IF(数据源!C113="/",数据源!F113,数据源!C113))</f>
        <v/>
      </c>
      <c r="D88" s="2" t="str">
        <f>IF(LEN(数据源!P113)=0,IF(LEN(数据源!D113)=0,"",数据源!D113),数据源!P113)</f>
        <v/>
      </c>
      <c r="E88" s="2"/>
      <c r="F88" s="2" t="str">
        <f>IF(ISBLANK(数据源!E113),"",数据源!E113)</f>
        <v/>
      </c>
      <c r="G88" s="2" t="str">
        <f>IF(ISBLANK(数据源!G113),"",IF(数据源!G113="A","合格","不合格"))</f>
        <v/>
      </c>
      <c r="H88" s="2" t="str">
        <f>IF(ISBLANK(数据源!H113),"",数据源!H113)</f>
        <v/>
      </c>
      <c r="I88" s="2" t="str">
        <f>IF(ISBLANK(数据源!J113),"",数据源!J113)</f>
        <v/>
      </c>
      <c r="J88" s="2" t="str">
        <f>IF(ISBLANK(数据源!L113),"",数据源!L113)</f>
        <v/>
      </c>
      <c r="K88" s="1" t="str">
        <f>IF(数据源!AD113="外检","#","")</f>
        <v/>
      </c>
      <c r="L88" s="2" t="str">
        <f>IF(ISBLANK(数据源!U113),"",数据源!U113)</f>
        <v/>
      </c>
      <c r="M88" s="2" t="str">
        <f>IF(ISBLANK(数据源!V113),"",IF(数据源!V113="/",数据源!Y113,数据源!V113))</f>
        <v/>
      </c>
      <c r="N88" s="2" t="str">
        <f>IF(LEN(数据源!AI113)=0,IF(LEN(数据源!W113)=0,"",数据源!W113),数据源!AI113)</f>
        <v/>
      </c>
      <c r="O88" s="1"/>
      <c r="P88" s="2" t="str">
        <f>IF(ISBLANK(数据源!X113),"",数据源!X113)</f>
        <v/>
      </c>
      <c r="Q88" s="2" t="str">
        <f>IF(ISBLANK(数据源!Z113),"",IF(数据源!Z113="A","合格","不合格"))</f>
        <v/>
      </c>
      <c r="R88" s="2" t="str">
        <f>IF(ISBLANK(数据源!AA113),"",数据源!AA113)</f>
        <v/>
      </c>
      <c r="S88" s="2" t="str">
        <f>IF(ISBLANK(数据源!AC113),"",数据源!AC113)</f>
        <v/>
      </c>
      <c r="T88" s="2" t="str">
        <f>IF(ISBLANK(数据源!AE113),"",数据源!AE113)</f>
        <v/>
      </c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1" t="str">
        <f>IF(数据源!K113="外检","#","")</f>
        <v/>
      </c>
      <c r="AX88" s="2" t="str">
        <f>IF(ISBLANK(数据源!Q113),"",数据源!Q113)</f>
        <v/>
      </c>
      <c r="AY88" s="2" t="str">
        <f>IF(ISBLANK(数据源!R113),"",数据源!R113)</f>
        <v/>
      </c>
      <c r="AZ88" s="2" t="str">
        <f>IF(LEN(数据源!P113)=0,IF(LEN(数据源!D113)=0,"",数据源!D113),数据源!P113)</f>
        <v/>
      </c>
      <c r="BA88" s="2"/>
      <c r="BB88" s="2" t="str">
        <f>IF(ISBLANK(数据源!E113),"",数据源!E113)</f>
        <v/>
      </c>
      <c r="BC88" s="2" t="str">
        <f>IF(ISBLANK(数据源!G113),"",IF(数据源!G113="A","Qualified","Unqualified"))</f>
        <v/>
      </c>
      <c r="BD88" s="2" t="str">
        <f>IF(ISBLANK(数据源!S113),"",数据源!S113)</f>
        <v/>
      </c>
      <c r="BE88" s="2" t="str">
        <f>IF(ISBLANK(数据源!J113),"",数据源!J113)</f>
        <v/>
      </c>
      <c r="BF88" s="2" t="str">
        <f>IF(ISBLANK(数据源!L113),"",数据源!L113)</f>
        <v/>
      </c>
      <c r="BG88" s="1" t="str">
        <f>IF(数据源!AD113="外检","#","")</f>
        <v/>
      </c>
      <c r="BH88" s="2" t="str">
        <f>IF(ISBLANK(数据源!AJ113),"",数据源!AJ113)</f>
        <v/>
      </c>
      <c r="BI88" s="2" t="str">
        <f>IF(ISBLANK(数据源!AK113),"",数据源!AK113)</f>
        <v/>
      </c>
      <c r="BJ88" s="2" t="str">
        <f>IF(LEN(数据源!AI113)=0,IF(LEN(数据源!W113)=0,"",数据源!W113),数据源!AI113)</f>
        <v/>
      </c>
      <c r="BK88" s="1"/>
      <c r="BL88" s="2" t="str">
        <f>IF(ISBLANK(数据源!X113),"",数据源!X113)</f>
        <v/>
      </c>
      <c r="BM88" s="2" t="str">
        <f>IF(ISBLANK(数据源!Z113),"",IF(数据源!Z113="A","Qualified","Unqualified"))</f>
        <v/>
      </c>
      <c r="BN88" s="2" t="str">
        <f>IF(ISBLANK(数据源!AL113),"",数据源!AL113)</f>
        <v/>
      </c>
      <c r="BO88" s="2" t="str">
        <f>IF(ISBLANK(数据源!AC113),"",数据源!AC113)</f>
        <v/>
      </c>
      <c r="BP88" s="2" t="str">
        <f>IF(ISBLANK(数据源!AE113),"",数据源!AE113)</f>
        <v/>
      </c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  <c r="CD88" s="97"/>
      <c r="CE88" s="97"/>
      <c r="CF88" s="97"/>
      <c r="CG88" s="97"/>
      <c r="CH88" s="97"/>
      <c r="CI88" s="97"/>
      <c r="CJ88" s="97"/>
      <c r="CK88" s="97"/>
      <c r="CL88" s="97"/>
      <c r="CM88" s="97"/>
      <c r="CN88" s="97"/>
      <c r="CO88" s="97"/>
      <c r="CP88" s="86" t="str">
        <f>IF(ISBLANK(数据源!AW113),"",数据源!AW113)</f>
        <v/>
      </c>
      <c r="CQ88" s="86"/>
      <c r="CR88" s="86" t="str">
        <f>IF(ISBLANK(数据源!AX113),"",数据源!AX113)</f>
        <v/>
      </c>
      <c r="CS88" s="86" t="str">
        <f>IF(ISBLANK(数据源!AV113),"",数据源!AV113)</f>
        <v/>
      </c>
      <c r="CT88" s="86"/>
      <c r="CU88" s="97" t="s">
        <v>168</v>
      </c>
      <c r="CV88" s="86"/>
      <c r="CW88" s="86" t="str">
        <f>IF(ISBLANK(数据源!AU113),"",数据源!AU113)</f>
        <v/>
      </c>
      <c r="CX88" s="97"/>
      <c r="CY88" s="97"/>
      <c r="CZ88" s="97"/>
      <c r="DA88" s="97">
        <f>IF(数据源!L113&lt;&gt;"QA",0,数据源!O113)</f>
        <v>0</v>
      </c>
      <c r="DB88" s="97">
        <f>数据源!M113</f>
        <v>0</v>
      </c>
      <c r="DC88" s="97">
        <f>数据源!N113</f>
        <v>0</v>
      </c>
      <c r="DD88" s="97">
        <f>IF(数据源!L113&lt;&gt;"QC",0,数据源!O113)</f>
        <v>0</v>
      </c>
    </row>
    <row r="89" spans="1:108">
      <c r="A89" s="1" t="str">
        <f>IF(数据源!K114="外检","#","")</f>
        <v/>
      </c>
      <c r="B89" s="2" t="str">
        <f>IF(ISBLANK(数据源!B114),"",数据源!B114)</f>
        <v/>
      </c>
      <c r="C89" s="2" t="str">
        <f>IF(ISBLANK(数据源!C114),"",IF(数据源!C114="/",数据源!F114,数据源!C114))</f>
        <v/>
      </c>
      <c r="D89" s="2" t="str">
        <f>IF(LEN(数据源!P114)=0,IF(LEN(数据源!D114)=0,"",数据源!D114),数据源!P114)</f>
        <v/>
      </c>
      <c r="E89" s="2"/>
      <c r="F89" s="2" t="str">
        <f>IF(ISBLANK(数据源!E114),"",数据源!E114)</f>
        <v/>
      </c>
      <c r="G89" s="2" t="str">
        <f>IF(ISBLANK(数据源!G114),"",IF(数据源!G114="A","合格","不合格"))</f>
        <v/>
      </c>
      <c r="H89" s="2" t="str">
        <f>IF(ISBLANK(数据源!H114),"",数据源!H114)</f>
        <v/>
      </c>
      <c r="I89" s="2" t="str">
        <f>IF(ISBLANK(数据源!J114),"",数据源!J114)</f>
        <v/>
      </c>
      <c r="J89" s="2" t="str">
        <f>IF(ISBLANK(数据源!L114),"",数据源!L114)</f>
        <v/>
      </c>
      <c r="K89" s="1" t="str">
        <f>IF(数据源!AD114="外检","#","")</f>
        <v/>
      </c>
      <c r="L89" s="2" t="str">
        <f>IF(ISBLANK(数据源!U114),"",数据源!U114)</f>
        <v/>
      </c>
      <c r="M89" s="2" t="str">
        <f>IF(ISBLANK(数据源!V114),"",IF(数据源!V114="/",数据源!Y114,数据源!V114))</f>
        <v/>
      </c>
      <c r="N89" s="2" t="str">
        <f>IF(LEN(数据源!AI114)=0,IF(LEN(数据源!W114)=0,"",数据源!W114),数据源!AI114)</f>
        <v/>
      </c>
      <c r="O89" s="1"/>
      <c r="P89" s="2" t="str">
        <f>IF(ISBLANK(数据源!X114),"",数据源!X114)</f>
        <v/>
      </c>
      <c r="Q89" s="2" t="str">
        <f>IF(ISBLANK(数据源!Z114),"",IF(数据源!Z114="A","合格","不合格"))</f>
        <v/>
      </c>
      <c r="R89" s="2" t="str">
        <f>IF(ISBLANK(数据源!AA114),"",数据源!AA114)</f>
        <v/>
      </c>
      <c r="S89" s="2" t="str">
        <f>IF(ISBLANK(数据源!AC114),"",数据源!AC114)</f>
        <v/>
      </c>
      <c r="T89" s="2" t="str">
        <f>IF(ISBLANK(数据源!AE114),"",数据源!AE114)</f>
        <v/>
      </c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1" t="str">
        <f>IF(数据源!K114="外检","#","")</f>
        <v/>
      </c>
      <c r="AX89" s="2" t="str">
        <f>IF(ISBLANK(数据源!Q114),"",数据源!Q114)</f>
        <v/>
      </c>
      <c r="AY89" s="2" t="str">
        <f>IF(ISBLANK(数据源!R114),"",数据源!R114)</f>
        <v/>
      </c>
      <c r="AZ89" s="2" t="str">
        <f>IF(LEN(数据源!P114)=0,IF(LEN(数据源!D114)=0,"",数据源!D114),数据源!P114)</f>
        <v/>
      </c>
      <c r="BA89" s="2"/>
      <c r="BB89" s="2" t="str">
        <f>IF(ISBLANK(数据源!E114),"",数据源!E114)</f>
        <v/>
      </c>
      <c r="BC89" s="2" t="str">
        <f>IF(ISBLANK(数据源!G114),"",IF(数据源!G114="A","Qualified","Unqualified"))</f>
        <v/>
      </c>
      <c r="BD89" s="2" t="str">
        <f>IF(ISBLANK(数据源!S114),"",数据源!S114)</f>
        <v/>
      </c>
      <c r="BE89" s="2" t="str">
        <f>IF(ISBLANK(数据源!J114),"",数据源!J114)</f>
        <v/>
      </c>
      <c r="BF89" s="2" t="str">
        <f>IF(ISBLANK(数据源!L114),"",数据源!L114)</f>
        <v/>
      </c>
      <c r="BG89" s="1" t="str">
        <f>IF(数据源!AD114="外检","#","")</f>
        <v/>
      </c>
      <c r="BH89" s="2" t="str">
        <f>IF(ISBLANK(数据源!AJ114),"",数据源!AJ114)</f>
        <v/>
      </c>
      <c r="BI89" s="2" t="str">
        <f>IF(ISBLANK(数据源!AK114),"",数据源!AK114)</f>
        <v/>
      </c>
      <c r="BJ89" s="2" t="str">
        <f>IF(LEN(数据源!AI114)=0,IF(LEN(数据源!W114)=0,"",数据源!W114),数据源!AI114)</f>
        <v/>
      </c>
      <c r="BK89" s="1"/>
      <c r="BL89" s="2" t="str">
        <f>IF(ISBLANK(数据源!X114),"",数据源!X114)</f>
        <v/>
      </c>
      <c r="BM89" s="2" t="str">
        <f>IF(ISBLANK(数据源!Z114),"",IF(数据源!Z114="A","Qualified","Unqualified"))</f>
        <v/>
      </c>
      <c r="BN89" s="2" t="str">
        <f>IF(ISBLANK(数据源!AL114),"",数据源!AL114)</f>
        <v/>
      </c>
      <c r="BO89" s="2" t="str">
        <f>IF(ISBLANK(数据源!AC114),"",数据源!AC114)</f>
        <v/>
      </c>
      <c r="BP89" s="2" t="str">
        <f>IF(ISBLANK(数据源!AE114),"",数据源!AE114)</f>
        <v/>
      </c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  <c r="CD89" s="97"/>
      <c r="CE89" s="97"/>
      <c r="CF89" s="97"/>
      <c r="CG89" s="97"/>
      <c r="CH89" s="97"/>
      <c r="CI89" s="97"/>
      <c r="CJ89" s="97"/>
      <c r="CK89" s="97"/>
      <c r="CL89" s="97"/>
      <c r="CM89" s="97"/>
      <c r="CN89" s="97"/>
      <c r="CO89" s="97"/>
      <c r="CP89" s="86" t="str">
        <f>IF(ISBLANK(数据源!AW114),"",数据源!AW114)</f>
        <v/>
      </c>
      <c r="CQ89" s="86"/>
      <c r="CR89" s="86" t="str">
        <f>IF(ISBLANK(数据源!AX114),"",数据源!AX114)</f>
        <v/>
      </c>
      <c r="CS89" s="86" t="str">
        <f>IF(ISBLANK(数据源!AV114),"",数据源!AV114)</f>
        <v/>
      </c>
      <c r="CT89" s="86"/>
      <c r="CU89" s="97" t="s">
        <v>168</v>
      </c>
      <c r="CV89" s="86"/>
      <c r="CW89" s="86" t="str">
        <f>IF(ISBLANK(数据源!AU114),"",数据源!AU114)</f>
        <v/>
      </c>
      <c r="CX89" s="97"/>
      <c r="CY89" s="97"/>
      <c r="CZ89" s="97"/>
      <c r="DA89" s="97">
        <f>IF(数据源!L114&lt;&gt;"QA",0,数据源!O114)</f>
        <v>0</v>
      </c>
      <c r="DB89" s="97">
        <f>数据源!M114</f>
        <v>0</v>
      </c>
      <c r="DC89" s="97">
        <f>数据源!N114</f>
        <v>0</v>
      </c>
      <c r="DD89" s="97">
        <f>IF(数据源!L114&lt;&gt;"QC",0,数据源!O114)</f>
        <v>0</v>
      </c>
    </row>
    <row r="90" spans="1:108">
      <c r="A90" s="1" t="str">
        <f>IF(数据源!K115="外检","#","")</f>
        <v/>
      </c>
      <c r="B90" s="2" t="str">
        <f>IF(ISBLANK(数据源!B115),"",数据源!B115)</f>
        <v/>
      </c>
      <c r="C90" s="2" t="str">
        <f>IF(ISBLANK(数据源!C115),"",IF(数据源!C115="/",数据源!F115,数据源!C115))</f>
        <v/>
      </c>
      <c r="D90" s="2" t="str">
        <f>IF(LEN(数据源!P115)=0,IF(LEN(数据源!D115)=0,"",数据源!D115),数据源!P115)</f>
        <v/>
      </c>
      <c r="E90" s="2"/>
      <c r="F90" s="2" t="str">
        <f>IF(ISBLANK(数据源!E115),"",数据源!E115)</f>
        <v/>
      </c>
      <c r="G90" s="2" t="str">
        <f>IF(ISBLANK(数据源!G115),"",IF(数据源!G115="A","合格","不合格"))</f>
        <v/>
      </c>
      <c r="H90" s="2" t="str">
        <f>IF(ISBLANK(数据源!H115),"",数据源!H115)</f>
        <v/>
      </c>
      <c r="I90" s="2" t="str">
        <f>IF(ISBLANK(数据源!J115),"",数据源!J115)</f>
        <v/>
      </c>
      <c r="J90" s="2" t="str">
        <f>IF(ISBLANK(数据源!L115),"",数据源!L115)</f>
        <v/>
      </c>
      <c r="K90" s="1" t="str">
        <f>IF(数据源!AD115="外检","#","")</f>
        <v/>
      </c>
      <c r="L90" s="2" t="str">
        <f>IF(ISBLANK(数据源!U115),"",数据源!U115)</f>
        <v/>
      </c>
      <c r="M90" s="2" t="str">
        <f>IF(ISBLANK(数据源!V115),"",IF(数据源!V115="/",数据源!Y115,数据源!V115))</f>
        <v/>
      </c>
      <c r="N90" s="2" t="str">
        <f>IF(LEN(数据源!AI115)=0,IF(LEN(数据源!W115)=0,"",数据源!W115),数据源!AI115)</f>
        <v/>
      </c>
      <c r="O90" s="1"/>
      <c r="P90" s="2" t="str">
        <f>IF(ISBLANK(数据源!X115),"",数据源!X115)</f>
        <v/>
      </c>
      <c r="Q90" s="2" t="str">
        <f>IF(ISBLANK(数据源!Z115),"",IF(数据源!Z115="A","合格","不合格"))</f>
        <v/>
      </c>
      <c r="R90" s="2" t="str">
        <f>IF(ISBLANK(数据源!AA115),"",数据源!AA115)</f>
        <v/>
      </c>
      <c r="S90" s="2" t="str">
        <f>IF(ISBLANK(数据源!AC115),"",数据源!AC115)</f>
        <v/>
      </c>
      <c r="T90" s="2" t="str">
        <f>IF(ISBLANK(数据源!AE115),"",数据源!AE115)</f>
        <v/>
      </c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1" t="str">
        <f>IF(数据源!K115="外检","#","")</f>
        <v/>
      </c>
      <c r="AX90" s="2" t="str">
        <f>IF(ISBLANK(数据源!Q115),"",数据源!Q115)</f>
        <v/>
      </c>
      <c r="AY90" s="2" t="str">
        <f>IF(ISBLANK(数据源!R115),"",数据源!R115)</f>
        <v/>
      </c>
      <c r="AZ90" s="2" t="str">
        <f>IF(LEN(数据源!P115)=0,IF(LEN(数据源!D115)=0,"",数据源!D115),数据源!P115)</f>
        <v/>
      </c>
      <c r="BA90" s="2"/>
      <c r="BB90" s="2" t="str">
        <f>IF(ISBLANK(数据源!E115),"",数据源!E115)</f>
        <v/>
      </c>
      <c r="BC90" s="2" t="str">
        <f>IF(ISBLANK(数据源!G115),"",IF(数据源!G115="A","Qualified","Unqualified"))</f>
        <v/>
      </c>
      <c r="BD90" s="2" t="str">
        <f>IF(ISBLANK(数据源!S115),"",数据源!S115)</f>
        <v/>
      </c>
      <c r="BE90" s="2" t="str">
        <f>IF(ISBLANK(数据源!J115),"",数据源!J115)</f>
        <v/>
      </c>
      <c r="BF90" s="2" t="str">
        <f>IF(ISBLANK(数据源!L115),"",数据源!L115)</f>
        <v/>
      </c>
      <c r="BG90" s="1" t="str">
        <f>IF(数据源!AD115="外检","#","")</f>
        <v/>
      </c>
      <c r="BH90" s="2" t="str">
        <f>IF(ISBLANK(数据源!AJ115),"",数据源!AJ115)</f>
        <v/>
      </c>
      <c r="BI90" s="2" t="str">
        <f>IF(ISBLANK(数据源!AK115),"",数据源!AK115)</f>
        <v/>
      </c>
      <c r="BJ90" s="2" t="str">
        <f>IF(LEN(数据源!AI115)=0,IF(LEN(数据源!W115)=0,"",数据源!W115),数据源!AI115)</f>
        <v/>
      </c>
      <c r="BK90" s="1"/>
      <c r="BL90" s="2" t="str">
        <f>IF(ISBLANK(数据源!X115),"",数据源!X115)</f>
        <v/>
      </c>
      <c r="BM90" s="2" t="str">
        <f>IF(ISBLANK(数据源!Z115),"",IF(数据源!Z115="A","Qualified","Unqualified"))</f>
        <v/>
      </c>
      <c r="BN90" s="2" t="str">
        <f>IF(ISBLANK(数据源!AL115),"",数据源!AL115)</f>
        <v/>
      </c>
      <c r="BO90" s="2" t="str">
        <f>IF(ISBLANK(数据源!AC115),"",数据源!AC115)</f>
        <v/>
      </c>
      <c r="BP90" s="2" t="str">
        <f>IF(ISBLANK(数据源!AE115),"",数据源!AE115)</f>
        <v/>
      </c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  <c r="CD90" s="97"/>
      <c r="CE90" s="97"/>
      <c r="CF90" s="97"/>
      <c r="CG90" s="97"/>
      <c r="CH90" s="97"/>
      <c r="CI90" s="97"/>
      <c r="CJ90" s="97"/>
      <c r="CK90" s="97"/>
      <c r="CL90" s="97"/>
      <c r="CM90" s="97"/>
      <c r="CN90" s="97"/>
      <c r="CO90" s="97"/>
      <c r="CP90" s="86" t="str">
        <f>IF(ISBLANK(数据源!AW115),"",数据源!AW115)</f>
        <v/>
      </c>
      <c r="CQ90" s="86"/>
      <c r="CR90" s="86" t="str">
        <f>IF(ISBLANK(数据源!AX115),"",数据源!AX115)</f>
        <v/>
      </c>
      <c r="CS90" s="86" t="str">
        <f>IF(ISBLANK(数据源!AV115),"",数据源!AV115)</f>
        <v/>
      </c>
      <c r="CT90" s="86"/>
      <c r="CU90" s="97" t="s">
        <v>168</v>
      </c>
      <c r="CV90" s="86"/>
      <c r="CW90" s="86" t="str">
        <f>IF(ISBLANK(数据源!AU115),"",数据源!AU115)</f>
        <v/>
      </c>
      <c r="CX90" s="97"/>
      <c r="CY90" s="97"/>
      <c r="CZ90" s="97"/>
      <c r="DA90" s="97">
        <f>IF(数据源!L115&lt;&gt;"QA",0,数据源!O115)</f>
        <v>0</v>
      </c>
      <c r="DB90" s="97">
        <f>数据源!M115</f>
        <v>0</v>
      </c>
      <c r="DC90" s="97">
        <f>数据源!N115</f>
        <v>0</v>
      </c>
      <c r="DD90" s="97">
        <f>IF(数据源!L115&lt;&gt;"QC",0,数据源!O115)</f>
        <v>0</v>
      </c>
    </row>
    <row r="91" spans="1:108">
      <c r="A91" s="1" t="str">
        <f>IF(数据源!K116="外检","#","")</f>
        <v/>
      </c>
      <c r="B91" s="2" t="str">
        <f>IF(ISBLANK(数据源!B116),"",数据源!B116)</f>
        <v/>
      </c>
      <c r="C91" s="2" t="str">
        <f>IF(ISBLANK(数据源!C116),"",IF(数据源!C116="/",数据源!F116,数据源!C116))</f>
        <v/>
      </c>
      <c r="D91" s="2" t="str">
        <f>IF(LEN(数据源!P116)=0,IF(LEN(数据源!D116)=0,"",数据源!D116),数据源!P116)</f>
        <v/>
      </c>
      <c r="E91" s="2"/>
      <c r="F91" s="2" t="str">
        <f>IF(ISBLANK(数据源!E116),"",数据源!E116)</f>
        <v/>
      </c>
      <c r="G91" s="2" t="str">
        <f>IF(ISBLANK(数据源!G116),"",IF(数据源!G116="A","合格","不合格"))</f>
        <v/>
      </c>
      <c r="H91" s="2" t="str">
        <f>IF(ISBLANK(数据源!H116),"",数据源!H116)</f>
        <v/>
      </c>
      <c r="I91" s="2" t="str">
        <f>IF(ISBLANK(数据源!J116),"",数据源!J116)</f>
        <v/>
      </c>
      <c r="J91" s="2" t="str">
        <f>IF(ISBLANK(数据源!L116),"",数据源!L116)</f>
        <v/>
      </c>
      <c r="K91" s="1" t="str">
        <f>IF(数据源!AD116="外检","#","")</f>
        <v/>
      </c>
      <c r="L91" s="2" t="str">
        <f>IF(ISBLANK(数据源!U116),"",数据源!U116)</f>
        <v/>
      </c>
      <c r="M91" s="2" t="str">
        <f>IF(ISBLANK(数据源!V116),"",IF(数据源!V116="/",数据源!Y116,数据源!V116))</f>
        <v/>
      </c>
      <c r="N91" s="2" t="str">
        <f>IF(LEN(数据源!AI116)=0,IF(LEN(数据源!W116)=0,"",数据源!W116),数据源!AI116)</f>
        <v/>
      </c>
      <c r="O91" s="1"/>
      <c r="P91" s="2" t="str">
        <f>IF(ISBLANK(数据源!X116),"",数据源!X116)</f>
        <v/>
      </c>
      <c r="Q91" s="2" t="str">
        <f>IF(ISBLANK(数据源!Z116),"",IF(数据源!Z116="A","合格","不合格"))</f>
        <v/>
      </c>
      <c r="R91" s="2" t="str">
        <f>IF(ISBLANK(数据源!AA116),"",数据源!AA116)</f>
        <v/>
      </c>
      <c r="S91" s="2" t="str">
        <f>IF(ISBLANK(数据源!AC116),"",数据源!AC116)</f>
        <v/>
      </c>
      <c r="T91" s="2" t="str">
        <f>IF(ISBLANK(数据源!AE116),"",数据源!AE116)</f>
        <v/>
      </c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1" t="str">
        <f>IF(数据源!K116="外检","#","")</f>
        <v/>
      </c>
      <c r="AX91" s="2" t="str">
        <f>IF(ISBLANK(数据源!Q116),"",数据源!Q116)</f>
        <v/>
      </c>
      <c r="AY91" s="2" t="str">
        <f>IF(ISBLANK(数据源!R116),"",数据源!R116)</f>
        <v/>
      </c>
      <c r="AZ91" s="2" t="str">
        <f>IF(LEN(数据源!P116)=0,IF(LEN(数据源!D116)=0,"",数据源!D116),数据源!P116)</f>
        <v/>
      </c>
      <c r="BA91" s="2"/>
      <c r="BB91" s="2" t="str">
        <f>IF(ISBLANK(数据源!E116),"",数据源!E116)</f>
        <v/>
      </c>
      <c r="BC91" s="2" t="str">
        <f>IF(ISBLANK(数据源!G116),"",IF(数据源!G116="A","Qualified","Unqualified"))</f>
        <v/>
      </c>
      <c r="BD91" s="2" t="str">
        <f>IF(ISBLANK(数据源!S116),"",数据源!S116)</f>
        <v/>
      </c>
      <c r="BE91" s="2" t="str">
        <f>IF(ISBLANK(数据源!J116),"",数据源!J116)</f>
        <v/>
      </c>
      <c r="BF91" s="2" t="str">
        <f>IF(ISBLANK(数据源!L116),"",数据源!L116)</f>
        <v/>
      </c>
      <c r="BG91" s="1" t="str">
        <f>IF(数据源!AD116="外检","#","")</f>
        <v/>
      </c>
      <c r="BH91" s="2" t="str">
        <f>IF(ISBLANK(数据源!AJ116),"",数据源!AJ116)</f>
        <v/>
      </c>
      <c r="BI91" s="2" t="str">
        <f>IF(ISBLANK(数据源!AK116),"",数据源!AK116)</f>
        <v/>
      </c>
      <c r="BJ91" s="2" t="str">
        <f>IF(LEN(数据源!AI116)=0,IF(LEN(数据源!W116)=0,"",数据源!W116),数据源!AI116)</f>
        <v/>
      </c>
      <c r="BK91" s="1"/>
      <c r="BL91" s="2" t="str">
        <f>IF(ISBLANK(数据源!X116),"",数据源!X116)</f>
        <v/>
      </c>
      <c r="BM91" s="2" t="str">
        <f>IF(ISBLANK(数据源!Z116),"",IF(数据源!Z116="A","Qualified","Unqualified"))</f>
        <v/>
      </c>
      <c r="BN91" s="2" t="str">
        <f>IF(ISBLANK(数据源!AL116),"",数据源!AL116)</f>
        <v/>
      </c>
      <c r="BO91" s="2" t="str">
        <f>IF(ISBLANK(数据源!AC116),"",数据源!AC116)</f>
        <v/>
      </c>
      <c r="BP91" s="2" t="str">
        <f>IF(ISBLANK(数据源!AE116),"",数据源!AE116)</f>
        <v/>
      </c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  <c r="CD91" s="97"/>
      <c r="CE91" s="97"/>
      <c r="CF91" s="97"/>
      <c r="CG91" s="97"/>
      <c r="CH91" s="97"/>
      <c r="CI91" s="97"/>
      <c r="CJ91" s="97"/>
      <c r="CK91" s="97"/>
      <c r="CL91" s="97"/>
      <c r="CM91" s="97"/>
      <c r="CN91" s="97"/>
      <c r="CO91" s="97"/>
      <c r="CP91" s="86" t="str">
        <f>IF(ISBLANK(数据源!AW116),"",数据源!AW116)</f>
        <v/>
      </c>
      <c r="CQ91" s="86"/>
      <c r="CR91" s="86" t="str">
        <f>IF(ISBLANK(数据源!AX116),"",数据源!AX116)</f>
        <v/>
      </c>
      <c r="CS91" s="86" t="str">
        <f>IF(ISBLANK(数据源!AV116),"",数据源!AV116)</f>
        <v/>
      </c>
      <c r="CT91" s="86"/>
      <c r="CU91" s="97" t="s">
        <v>168</v>
      </c>
      <c r="CV91" s="86"/>
      <c r="CW91" s="86" t="str">
        <f>IF(ISBLANK(数据源!AU116),"",数据源!AU116)</f>
        <v/>
      </c>
      <c r="CX91" s="97"/>
      <c r="CY91" s="97"/>
      <c r="CZ91" s="97"/>
      <c r="DA91" s="97">
        <f>IF(数据源!L116&lt;&gt;"QA",0,数据源!O116)</f>
        <v>0</v>
      </c>
      <c r="DB91" s="97">
        <f>数据源!M116</f>
        <v>0</v>
      </c>
      <c r="DC91" s="97">
        <f>数据源!N116</f>
        <v>0</v>
      </c>
      <c r="DD91" s="97">
        <f>IF(数据源!L116&lt;&gt;"QC",0,数据源!O116)</f>
        <v>0</v>
      </c>
    </row>
    <row r="92" spans="1:108">
      <c r="A92" s="1" t="str">
        <f>IF(数据源!K117="外检","#","")</f>
        <v/>
      </c>
      <c r="B92" s="2" t="str">
        <f>IF(ISBLANK(数据源!B117),"",数据源!B117)</f>
        <v/>
      </c>
      <c r="C92" s="2" t="str">
        <f>IF(ISBLANK(数据源!C117),"",IF(数据源!C117="/",数据源!F117,数据源!C117))</f>
        <v/>
      </c>
      <c r="D92" s="2" t="str">
        <f>IF(LEN(数据源!P117)=0,IF(LEN(数据源!D117)=0,"",数据源!D117),数据源!P117)</f>
        <v/>
      </c>
      <c r="E92" s="2"/>
      <c r="F92" s="2" t="str">
        <f>IF(ISBLANK(数据源!E117),"",数据源!E117)</f>
        <v/>
      </c>
      <c r="G92" s="2" t="str">
        <f>IF(ISBLANK(数据源!G117),"",IF(数据源!G117="A","合格","不合格"))</f>
        <v/>
      </c>
      <c r="H92" s="2" t="str">
        <f>IF(ISBLANK(数据源!H117),"",数据源!H117)</f>
        <v/>
      </c>
      <c r="I92" s="2" t="str">
        <f>IF(ISBLANK(数据源!J117),"",数据源!J117)</f>
        <v/>
      </c>
      <c r="J92" s="2" t="str">
        <f>IF(ISBLANK(数据源!L117),"",数据源!L117)</f>
        <v/>
      </c>
      <c r="K92" s="1" t="str">
        <f>IF(数据源!AD117="外检","#","")</f>
        <v/>
      </c>
      <c r="L92" s="2" t="str">
        <f>IF(ISBLANK(数据源!U117),"",数据源!U117)</f>
        <v/>
      </c>
      <c r="M92" s="2" t="str">
        <f>IF(ISBLANK(数据源!V117),"",IF(数据源!V117="/",数据源!Y117,数据源!V117))</f>
        <v/>
      </c>
      <c r="N92" s="2" t="str">
        <f>IF(LEN(数据源!AI117)=0,IF(LEN(数据源!W117)=0,"",数据源!W117),数据源!AI117)</f>
        <v/>
      </c>
      <c r="O92" s="1"/>
      <c r="P92" s="2" t="str">
        <f>IF(ISBLANK(数据源!X117),"",数据源!X117)</f>
        <v/>
      </c>
      <c r="Q92" s="2" t="str">
        <f>IF(ISBLANK(数据源!Z117),"",IF(数据源!Z117="A","合格","不合格"))</f>
        <v/>
      </c>
      <c r="R92" s="2" t="str">
        <f>IF(ISBLANK(数据源!AA117),"",数据源!AA117)</f>
        <v/>
      </c>
      <c r="S92" s="2" t="str">
        <f>IF(ISBLANK(数据源!AC117),"",数据源!AC117)</f>
        <v/>
      </c>
      <c r="T92" s="2" t="str">
        <f>IF(ISBLANK(数据源!AE117),"",数据源!AE117)</f>
        <v/>
      </c>
      <c r="U92" s="97"/>
      <c r="V92" s="97"/>
      <c r="W92" s="97"/>
      <c r="X92" s="97"/>
      <c r="Y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1" t="str">
        <f>IF(数据源!K117="外检","#","")</f>
        <v/>
      </c>
      <c r="AX92" s="2" t="str">
        <f>IF(ISBLANK(数据源!Q117),"",数据源!Q117)</f>
        <v/>
      </c>
      <c r="AY92" s="2" t="str">
        <f>IF(ISBLANK(数据源!R117),"",数据源!R117)</f>
        <v/>
      </c>
      <c r="AZ92" s="2" t="str">
        <f>IF(LEN(数据源!P117)=0,IF(LEN(数据源!D117)=0,"",数据源!D117),数据源!P117)</f>
        <v/>
      </c>
      <c r="BA92" s="2"/>
      <c r="BB92" s="2" t="str">
        <f>IF(ISBLANK(数据源!E117),"",数据源!E117)</f>
        <v/>
      </c>
      <c r="BC92" s="2" t="str">
        <f>IF(ISBLANK(数据源!G117),"",IF(数据源!G117="A","Qualified","Unqualified"))</f>
        <v/>
      </c>
      <c r="BD92" s="2" t="str">
        <f>IF(ISBLANK(数据源!S117),"",数据源!S117)</f>
        <v/>
      </c>
      <c r="BE92" s="2" t="str">
        <f>IF(ISBLANK(数据源!J117),"",数据源!J117)</f>
        <v/>
      </c>
      <c r="BF92" s="2" t="str">
        <f>IF(ISBLANK(数据源!L117),"",数据源!L117)</f>
        <v/>
      </c>
      <c r="BG92" s="1" t="str">
        <f>IF(数据源!AD117="外检","#","")</f>
        <v/>
      </c>
      <c r="BH92" s="2" t="str">
        <f>IF(ISBLANK(数据源!AJ117),"",数据源!AJ117)</f>
        <v/>
      </c>
      <c r="BI92" s="2" t="str">
        <f>IF(ISBLANK(数据源!AK117),"",数据源!AK117)</f>
        <v/>
      </c>
      <c r="BJ92" s="2" t="str">
        <f>IF(LEN(数据源!AI117)=0,IF(LEN(数据源!W117)=0,"",数据源!W117),数据源!AI117)</f>
        <v/>
      </c>
      <c r="BK92" s="1"/>
      <c r="BL92" s="2" t="str">
        <f>IF(ISBLANK(数据源!X117),"",数据源!X117)</f>
        <v/>
      </c>
      <c r="BM92" s="2" t="str">
        <f>IF(ISBLANK(数据源!Z117),"",IF(数据源!Z117="A","Qualified","Unqualified"))</f>
        <v/>
      </c>
      <c r="BN92" s="2" t="str">
        <f>IF(ISBLANK(数据源!AL117),"",数据源!AL117)</f>
        <v/>
      </c>
      <c r="BO92" s="2" t="str">
        <f>IF(ISBLANK(数据源!AC117),"",数据源!AC117)</f>
        <v/>
      </c>
      <c r="BP92" s="2" t="str">
        <f>IF(ISBLANK(数据源!AE117),"",数据源!AE117)</f>
        <v/>
      </c>
      <c r="BQ92" s="97"/>
      <c r="BR92" s="97"/>
      <c r="BS92" s="97"/>
      <c r="BT92" s="97"/>
      <c r="BU92" s="97"/>
      <c r="CF92" s="97"/>
      <c r="CG92" s="97"/>
      <c r="CH92" s="97"/>
      <c r="CI92" s="97"/>
      <c r="CJ92" s="97"/>
      <c r="CK92" s="97"/>
      <c r="CL92" s="97"/>
      <c r="CM92" s="97"/>
      <c r="CN92" s="97"/>
      <c r="CO92" s="97"/>
      <c r="CP92" s="86" t="str">
        <f>IF(ISBLANK(数据源!AW117),"",数据源!AW117)</f>
        <v/>
      </c>
      <c r="CQ92" s="86"/>
      <c r="CR92" s="86" t="str">
        <f>IF(ISBLANK(数据源!AX117),"",数据源!AX117)</f>
        <v/>
      </c>
      <c r="CS92" s="86" t="str">
        <f>IF(ISBLANK(数据源!AV117),"",数据源!AV117)</f>
        <v/>
      </c>
      <c r="CT92" s="86"/>
      <c r="CU92" s="97" t="s">
        <v>168</v>
      </c>
      <c r="CV92" s="86"/>
      <c r="CW92" s="86" t="str">
        <f>IF(ISBLANK(数据源!AU117),"",数据源!AU117)</f>
        <v/>
      </c>
      <c r="CX92" s="97"/>
      <c r="CY92" s="97"/>
      <c r="CZ92" s="97"/>
      <c r="DA92" s="97">
        <f>IF(数据源!L117&lt;&gt;"QA",0,数据源!O117)</f>
        <v>0</v>
      </c>
      <c r="DB92" s="97">
        <f>数据源!M117</f>
        <v>0</v>
      </c>
      <c r="DC92" s="97">
        <f>数据源!N117</f>
        <v>0</v>
      </c>
      <c r="DD92" s="97">
        <f>IF(数据源!L117&lt;&gt;"QC",0,数据源!O117)</f>
        <v>0</v>
      </c>
    </row>
    <row r="93" spans="1:108">
      <c r="A93" s="1" t="str">
        <f>IF(数据源!K118="外检","#","")</f>
        <v/>
      </c>
      <c r="B93" s="2" t="str">
        <f>IF(ISBLANK(数据源!B118),"",数据源!B118)</f>
        <v/>
      </c>
      <c r="C93" s="2" t="str">
        <f>IF(ISBLANK(数据源!C118),"",IF(数据源!C118="/",数据源!F118,数据源!C118))</f>
        <v/>
      </c>
      <c r="D93" s="2" t="str">
        <f>IF(LEN(数据源!P118)=0,IF(LEN(数据源!D118)=0,"",数据源!D118),数据源!P118)</f>
        <v/>
      </c>
      <c r="E93" s="2"/>
      <c r="F93" s="2" t="str">
        <f>IF(ISBLANK(数据源!E118),"",数据源!E118)</f>
        <v/>
      </c>
      <c r="G93" s="2" t="str">
        <f>IF(ISBLANK(数据源!G118),"",IF(数据源!G118="A","合格","不合格"))</f>
        <v/>
      </c>
      <c r="H93" s="2" t="str">
        <f>IF(ISBLANK(数据源!H118),"",数据源!H118)</f>
        <v/>
      </c>
      <c r="I93" s="2" t="str">
        <f>IF(ISBLANK(数据源!J118),"",数据源!J118)</f>
        <v/>
      </c>
      <c r="J93" s="2" t="str">
        <f>IF(ISBLANK(数据源!L118),"",数据源!L118)</f>
        <v/>
      </c>
      <c r="K93" s="1" t="str">
        <f>IF(数据源!AD118="外检","#","")</f>
        <v/>
      </c>
      <c r="L93" s="2" t="str">
        <f>IF(ISBLANK(数据源!U118),"",数据源!U118)</f>
        <v/>
      </c>
      <c r="M93" s="2" t="str">
        <f>IF(ISBLANK(数据源!V118),"",IF(数据源!V118="/",数据源!Y118,数据源!V118))</f>
        <v/>
      </c>
      <c r="N93" s="2" t="str">
        <f>IF(LEN(数据源!AI118)=0,IF(LEN(数据源!W118)=0,"",数据源!W118),数据源!AI118)</f>
        <v/>
      </c>
      <c r="O93" s="1"/>
      <c r="P93" s="2" t="str">
        <f>IF(ISBLANK(数据源!X118),"",数据源!X118)</f>
        <v/>
      </c>
      <c r="Q93" s="2" t="str">
        <f>IF(ISBLANK(数据源!Z118),"",IF(数据源!Z118="A","合格","不合格"))</f>
        <v/>
      </c>
      <c r="R93" s="2" t="str">
        <f>IF(ISBLANK(数据源!AA118),"",数据源!AA118)</f>
        <v/>
      </c>
      <c r="S93" s="2" t="str">
        <f>IF(ISBLANK(数据源!AC118),"",数据源!AC118)</f>
        <v/>
      </c>
      <c r="T93" s="2" t="str">
        <f>IF(ISBLANK(数据源!AE118),"",数据源!AE118)</f>
        <v/>
      </c>
      <c r="U93" s="97"/>
      <c r="V93" s="97"/>
      <c r="W93" s="97"/>
      <c r="X93" s="97"/>
      <c r="Y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1" t="str">
        <f>IF(数据源!K118="外检","#","")</f>
        <v/>
      </c>
      <c r="AX93" s="2" t="str">
        <f>IF(ISBLANK(数据源!Q118),"",数据源!Q118)</f>
        <v/>
      </c>
      <c r="AY93" s="2" t="str">
        <f>IF(ISBLANK(数据源!R118),"",数据源!R118)</f>
        <v/>
      </c>
      <c r="AZ93" s="2" t="str">
        <f>IF(LEN(数据源!P118)=0,IF(LEN(数据源!D118)=0,"",数据源!D118),数据源!P118)</f>
        <v/>
      </c>
      <c r="BA93" s="2"/>
      <c r="BB93" s="2" t="str">
        <f>IF(ISBLANK(数据源!E118),"",数据源!E118)</f>
        <v/>
      </c>
      <c r="BC93" s="2" t="str">
        <f>IF(ISBLANK(数据源!G118),"",IF(数据源!G118="A","Qualified","Unqualified"))</f>
        <v/>
      </c>
      <c r="BD93" s="2" t="str">
        <f>IF(ISBLANK(数据源!S118),"",数据源!S118)</f>
        <v/>
      </c>
      <c r="BE93" s="2" t="str">
        <f>IF(ISBLANK(数据源!J118),"",数据源!J118)</f>
        <v/>
      </c>
      <c r="BF93" s="2" t="str">
        <f>IF(ISBLANK(数据源!L118),"",数据源!L118)</f>
        <v/>
      </c>
      <c r="BG93" s="1" t="str">
        <f>IF(数据源!AD118="外检","#","")</f>
        <v/>
      </c>
      <c r="BH93" s="2" t="str">
        <f>IF(ISBLANK(数据源!AJ118),"",数据源!AJ118)</f>
        <v/>
      </c>
      <c r="BI93" s="2" t="str">
        <f>IF(ISBLANK(数据源!AK118),"",数据源!AK118)</f>
        <v/>
      </c>
      <c r="BJ93" s="2" t="str">
        <f>IF(LEN(数据源!AI118)=0,IF(LEN(数据源!W118)=0,"",数据源!W118),数据源!AI118)</f>
        <v/>
      </c>
      <c r="BK93" s="1"/>
      <c r="BL93" s="2" t="str">
        <f>IF(ISBLANK(数据源!X118),"",数据源!X118)</f>
        <v/>
      </c>
      <c r="BM93" s="2" t="str">
        <f>IF(ISBLANK(数据源!Z118),"",IF(数据源!Z118="A","Qualified","Unqualified"))</f>
        <v/>
      </c>
      <c r="BN93" s="2" t="str">
        <f>IF(ISBLANK(数据源!AL118),"",数据源!AL118)</f>
        <v/>
      </c>
      <c r="BO93" s="2" t="str">
        <f>IF(ISBLANK(数据源!AC118),"",数据源!AC118)</f>
        <v/>
      </c>
      <c r="BP93" s="2" t="str">
        <f>IF(ISBLANK(数据源!AE118),"",数据源!AE118)</f>
        <v/>
      </c>
      <c r="BQ93" s="97"/>
      <c r="BR93" s="97"/>
      <c r="BS93" s="97"/>
      <c r="BT93" s="97"/>
      <c r="BU93" s="97"/>
      <c r="CF93" s="97"/>
      <c r="CG93" s="97"/>
      <c r="CH93" s="97"/>
      <c r="CI93" s="97"/>
      <c r="CJ93" s="97"/>
      <c r="CK93" s="97"/>
      <c r="CL93" s="97"/>
      <c r="CM93" s="97"/>
      <c r="CN93" s="97"/>
      <c r="CO93" s="97"/>
      <c r="CP93" s="86" t="str">
        <f>IF(ISBLANK(数据源!AW118),"",数据源!AW118)</f>
        <v/>
      </c>
      <c r="CQ93" s="86"/>
      <c r="CR93" s="86" t="str">
        <f>IF(ISBLANK(数据源!AX118),"",数据源!AX118)</f>
        <v/>
      </c>
      <c r="CS93" s="86" t="str">
        <f>IF(ISBLANK(数据源!AV118),"",数据源!AV118)</f>
        <v/>
      </c>
      <c r="CT93" s="86"/>
      <c r="CU93" s="97" t="s">
        <v>168</v>
      </c>
      <c r="CV93" s="86"/>
      <c r="CW93" s="86" t="str">
        <f>IF(ISBLANK(数据源!AU118),"",数据源!AU118)</f>
        <v/>
      </c>
      <c r="CX93" s="97"/>
      <c r="CY93" s="97"/>
      <c r="CZ93" s="97"/>
      <c r="DA93" s="97">
        <f>IF(数据源!L118&lt;&gt;"QA",0,数据源!O118)</f>
        <v>0</v>
      </c>
      <c r="DB93" s="97">
        <f>数据源!M118</f>
        <v>0</v>
      </c>
      <c r="DC93" s="97">
        <f>数据源!N118</f>
        <v>0</v>
      </c>
      <c r="DD93" s="97">
        <f>IF(数据源!L118&lt;&gt;"QC",0,数据源!O118)</f>
        <v>0</v>
      </c>
    </row>
    <row r="94" spans="1:108">
      <c r="A94" s="1" t="str">
        <f>IF(数据源!K119="外检","#","")</f>
        <v/>
      </c>
      <c r="B94" s="2" t="str">
        <f>IF(ISBLANK(数据源!B119),"",数据源!B119)</f>
        <v/>
      </c>
      <c r="C94" s="2" t="str">
        <f>IF(ISBLANK(数据源!C119),"",IF(数据源!C119="/",数据源!F119,数据源!C119))</f>
        <v/>
      </c>
      <c r="D94" s="2" t="str">
        <f>IF(LEN(数据源!P119)=0,IF(LEN(数据源!D119)=0,"",数据源!D119),数据源!P119)</f>
        <v/>
      </c>
      <c r="E94" s="2"/>
      <c r="F94" s="2" t="str">
        <f>IF(ISBLANK(数据源!E119),"",数据源!E119)</f>
        <v/>
      </c>
      <c r="G94" s="2" t="str">
        <f>IF(ISBLANK(数据源!G119),"",IF(数据源!G119="A","合格","不合格"))</f>
        <v/>
      </c>
      <c r="H94" s="2" t="str">
        <f>IF(ISBLANK(数据源!H119),"",数据源!H119)</f>
        <v/>
      </c>
      <c r="I94" s="2" t="str">
        <f>IF(ISBLANK(数据源!J119),"",数据源!J119)</f>
        <v/>
      </c>
      <c r="J94" s="2" t="str">
        <f>IF(ISBLANK(数据源!L119),"",数据源!L119)</f>
        <v/>
      </c>
      <c r="K94" s="1" t="str">
        <f>IF(数据源!AD119="外检","#","")</f>
        <v/>
      </c>
      <c r="L94" s="2" t="str">
        <f>IF(ISBLANK(数据源!U119),"",数据源!U119)</f>
        <v/>
      </c>
      <c r="M94" s="2" t="str">
        <f>IF(ISBLANK(数据源!V119),"",IF(数据源!V119="/",数据源!Y119,数据源!V119))</f>
        <v/>
      </c>
      <c r="N94" s="2" t="str">
        <f>IF(LEN(数据源!AI119)=0,IF(LEN(数据源!W119)=0,"",数据源!W119),数据源!AI119)</f>
        <v/>
      </c>
      <c r="O94" s="1"/>
      <c r="P94" s="2" t="str">
        <f>IF(ISBLANK(数据源!X119),"",数据源!X119)</f>
        <v/>
      </c>
      <c r="Q94" s="2" t="str">
        <f>IF(ISBLANK(数据源!Z119),"",IF(数据源!Z119="A","合格","不合格"))</f>
        <v/>
      </c>
      <c r="R94" s="2" t="str">
        <f>IF(ISBLANK(数据源!AA119),"",数据源!AA119)</f>
        <v/>
      </c>
      <c r="S94" s="2" t="str">
        <f>IF(ISBLANK(数据源!AC119),"",数据源!AC119)</f>
        <v/>
      </c>
      <c r="T94" s="2" t="str">
        <f>IF(ISBLANK(数据源!AE119),"",数据源!AE119)</f>
        <v/>
      </c>
      <c r="U94" s="97"/>
      <c r="V94" s="97"/>
      <c r="W94" s="97"/>
      <c r="X94" s="97"/>
      <c r="Y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1" t="str">
        <f>IF(数据源!K119="外检","#","")</f>
        <v/>
      </c>
      <c r="AX94" s="2" t="str">
        <f>IF(ISBLANK(数据源!Q119),"",数据源!Q119)</f>
        <v/>
      </c>
      <c r="AY94" s="2" t="str">
        <f>IF(ISBLANK(数据源!R119),"",数据源!R119)</f>
        <v/>
      </c>
      <c r="AZ94" s="2" t="str">
        <f>IF(LEN(数据源!P119)=0,IF(LEN(数据源!D119)=0,"",数据源!D119),数据源!P119)</f>
        <v/>
      </c>
      <c r="BA94" s="2"/>
      <c r="BB94" s="2" t="str">
        <f>IF(ISBLANK(数据源!E119),"",数据源!E119)</f>
        <v/>
      </c>
      <c r="BC94" s="2" t="str">
        <f>IF(ISBLANK(数据源!G119),"",IF(数据源!G119="A","Qualified","Unqualified"))</f>
        <v/>
      </c>
      <c r="BD94" s="2" t="str">
        <f>IF(ISBLANK(数据源!S119),"",数据源!S119)</f>
        <v/>
      </c>
      <c r="BE94" s="2" t="str">
        <f>IF(ISBLANK(数据源!J119),"",数据源!J119)</f>
        <v/>
      </c>
      <c r="BF94" s="2" t="str">
        <f>IF(ISBLANK(数据源!L119),"",数据源!L119)</f>
        <v/>
      </c>
      <c r="BG94" s="1" t="str">
        <f>IF(数据源!AD119="外检","#","")</f>
        <v/>
      </c>
      <c r="BH94" s="2" t="str">
        <f>IF(ISBLANK(数据源!AJ119),"",数据源!AJ119)</f>
        <v/>
      </c>
      <c r="BI94" s="2" t="str">
        <f>IF(ISBLANK(数据源!AK119),"",数据源!AK119)</f>
        <v/>
      </c>
      <c r="BJ94" s="2" t="str">
        <f>IF(LEN(数据源!AI119)=0,IF(LEN(数据源!W119)=0,"",数据源!W119),数据源!AI119)</f>
        <v/>
      </c>
      <c r="BK94" s="1"/>
      <c r="BL94" s="2" t="str">
        <f>IF(ISBLANK(数据源!X119),"",数据源!X119)</f>
        <v/>
      </c>
      <c r="BM94" s="2" t="str">
        <f>IF(ISBLANK(数据源!Z119),"",IF(数据源!Z119="A","Qualified","Unqualified"))</f>
        <v/>
      </c>
      <c r="BN94" s="2" t="str">
        <f>IF(ISBLANK(数据源!AL119),"",数据源!AL119)</f>
        <v/>
      </c>
      <c r="BO94" s="2" t="str">
        <f>IF(ISBLANK(数据源!AC119),"",数据源!AC119)</f>
        <v/>
      </c>
      <c r="BP94" s="2" t="str">
        <f>IF(ISBLANK(数据源!AE119),"",数据源!AE119)</f>
        <v/>
      </c>
      <c r="BQ94" s="97"/>
      <c r="BR94" s="97"/>
      <c r="BS94" s="97"/>
      <c r="BT94" s="97"/>
      <c r="BU94" s="97"/>
      <c r="CF94" s="97"/>
      <c r="CG94" s="97"/>
      <c r="CH94" s="97"/>
      <c r="CI94" s="97"/>
      <c r="CJ94" s="97"/>
      <c r="CK94" s="97"/>
      <c r="CL94" s="97"/>
      <c r="CM94" s="97"/>
      <c r="CN94" s="97"/>
      <c r="CO94" s="97"/>
      <c r="CP94" s="86" t="str">
        <f>IF(ISBLANK(数据源!AW119),"",数据源!AW119)</f>
        <v/>
      </c>
      <c r="CQ94" s="86"/>
      <c r="CR94" s="86" t="str">
        <f>IF(ISBLANK(数据源!AX119),"",数据源!AX119)</f>
        <v/>
      </c>
      <c r="CS94" s="86" t="str">
        <f>IF(ISBLANK(数据源!AV119),"",数据源!AV119)</f>
        <v/>
      </c>
      <c r="CT94" s="86"/>
      <c r="CU94" s="97" t="s">
        <v>168</v>
      </c>
      <c r="CV94" s="86"/>
      <c r="CW94" s="86" t="str">
        <f>IF(ISBLANK(数据源!AU119),"",数据源!AU119)</f>
        <v/>
      </c>
      <c r="CX94" s="97"/>
      <c r="CY94" s="97"/>
      <c r="CZ94" s="97"/>
      <c r="DA94" s="97">
        <f>IF(数据源!L119&lt;&gt;"QA",0,数据源!O119)</f>
        <v>0</v>
      </c>
      <c r="DB94" s="97">
        <f>数据源!M119</f>
        <v>0</v>
      </c>
      <c r="DC94" s="97">
        <f>数据源!N119</f>
        <v>0</v>
      </c>
      <c r="DD94" s="97">
        <f>IF(数据源!L119&lt;&gt;"QC",0,数据源!O119)</f>
        <v>0</v>
      </c>
    </row>
    <row r="95" spans="1:108">
      <c r="A95" s="1" t="str">
        <f>IF(数据源!K120="外检","#","")</f>
        <v/>
      </c>
      <c r="B95" s="2" t="str">
        <f>IF(ISBLANK(数据源!B120),"",数据源!B120)</f>
        <v/>
      </c>
      <c r="C95" s="2" t="str">
        <f>IF(ISBLANK(数据源!C120),"",IF(数据源!C120="/",数据源!F120,数据源!C120))</f>
        <v/>
      </c>
      <c r="D95" s="2" t="str">
        <f>IF(LEN(数据源!P120)=0,IF(LEN(数据源!D120)=0,"",数据源!D120),数据源!P120)</f>
        <v/>
      </c>
      <c r="E95" s="2"/>
      <c r="F95" s="2" t="str">
        <f>IF(ISBLANK(数据源!E120),"",数据源!E120)</f>
        <v/>
      </c>
      <c r="G95" s="2" t="str">
        <f>IF(ISBLANK(数据源!G120),"",IF(数据源!G120="A","合格","不合格"))</f>
        <v/>
      </c>
      <c r="H95" s="2" t="str">
        <f>IF(ISBLANK(数据源!H120),"",数据源!H120)</f>
        <v/>
      </c>
      <c r="I95" s="2" t="str">
        <f>IF(ISBLANK(数据源!J120),"",数据源!J120)</f>
        <v/>
      </c>
      <c r="J95" s="2" t="str">
        <f>IF(ISBLANK(数据源!L120),"",数据源!L120)</f>
        <v/>
      </c>
      <c r="K95" s="1" t="str">
        <f>IF(数据源!AD120="外检","#","")</f>
        <v/>
      </c>
      <c r="L95" s="2" t="str">
        <f>IF(ISBLANK(数据源!U120),"",数据源!U120)</f>
        <v/>
      </c>
      <c r="M95" s="2" t="str">
        <f>IF(ISBLANK(数据源!V120),"",IF(数据源!V120="/",数据源!Y120,数据源!V120))</f>
        <v/>
      </c>
      <c r="N95" s="2" t="str">
        <f>IF(LEN(数据源!AI120)=0,IF(LEN(数据源!W120)=0,"",数据源!W120),数据源!AI120)</f>
        <v/>
      </c>
      <c r="O95" s="1"/>
      <c r="P95" s="2" t="str">
        <f>IF(ISBLANK(数据源!X120),"",数据源!X120)</f>
        <v/>
      </c>
      <c r="Q95" s="2" t="str">
        <f>IF(ISBLANK(数据源!Z120),"",IF(数据源!Z120="A","合格","不合格"))</f>
        <v/>
      </c>
      <c r="R95" s="2" t="str">
        <f>IF(ISBLANK(数据源!AA120),"",数据源!AA120)</f>
        <v/>
      </c>
      <c r="S95" s="2" t="str">
        <f>IF(ISBLANK(数据源!AC120),"",数据源!AC120)</f>
        <v/>
      </c>
      <c r="T95" s="2" t="str">
        <f>IF(ISBLANK(数据源!AE120),"",数据源!AE120)</f>
        <v/>
      </c>
      <c r="U95" s="97"/>
      <c r="V95" s="97"/>
      <c r="W95" s="97"/>
      <c r="X95" s="97"/>
      <c r="Y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1" t="str">
        <f>IF(数据源!K120="外检","#","")</f>
        <v/>
      </c>
      <c r="AX95" s="2" t="str">
        <f>IF(ISBLANK(数据源!Q120),"",数据源!Q120)</f>
        <v/>
      </c>
      <c r="AY95" s="2" t="str">
        <f>IF(ISBLANK(数据源!R120),"",数据源!R120)</f>
        <v/>
      </c>
      <c r="AZ95" s="2" t="str">
        <f>IF(LEN(数据源!P120)=0,IF(LEN(数据源!D120)=0,"",数据源!D120),数据源!P120)</f>
        <v/>
      </c>
      <c r="BA95" s="2"/>
      <c r="BB95" s="2" t="str">
        <f>IF(ISBLANK(数据源!E120),"",数据源!E120)</f>
        <v/>
      </c>
      <c r="BC95" s="2" t="str">
        <f>IF(ISBLANK(数据源!G120),"",IF(数据源!G120="A","Qualified","Unqualified"))</f>
        <v/>
      </c>
      <c r="BD95" s="2" t="str">
        <f>IF(ISBLANK(数据源!S120),"",数据源!S120)</f>
        <v/>
      </c>
      <c r="BE95" s="2" t="str">
        <f>IF(ISBLANK(数据源!J120),"",数据源!J120)</f>
        <v/>
      </c>
      <c r="BF95" s="2" t="str">
        <f>IF(ISBLANK(数据源!L120),"",数据源!L120)</f>
        <v/>
      </c>
      <c r="BG95" s="1" t="str">
        <f>IF(数据源!AD120="外检","#","")</f>
        <v/>
      </c>
      <c r="BH95" s="2" t="str">
        <f>IF(ISBLANK(数据源!AJ120),"",数据源!AJ120)</f>
        <v/>
      </c>
      <c r="BI95" s="2" t="str">
        <f>IF(ISBLANK(数据源!AK120),"",数据源!AK120)</f>
        <v/>
      </c>
      <c r="BJ95" s="2" t="str">
        <f>IF(LEN(数据源!AI120)=0,IF(LEN(数据源!W120)=0,"",数据源!W120),数据源!AI120)</f>
        <v/>
      </c>
      <c r="BK95" s="1"/>
      <c r="BL95" s="2" t="str">
        <f>IF(ISBLANK(数据源!X120),"",数据源!X120)</f>
        <v/>
      </c>
      <c r="BM95" s="2" t="str">
        <f>IF(ISBLANK(数据源!Z120),"",IF(数据源!Z120="A","Qualified","Unqualified"))</f>
        <v/>
      </c>
      <c r="BN95" s="2" t="str">
        <f>IF(ISBLANK(数据源!AL120),"",数据源!AL120)</f>
        <v/>
      </c>
      <c r="BO95" s="2" t="str">
        <f>IF(ISBLANK(数据源!AC120),"",数据源!AC120)</f>
        <v/>
      </c>
      <c r="BP95" s="2" t="str">
        <f>IF(ISBLANK(数据源!AE120),"",数据源!AE120)</f>
        <v/>
      </c>
      <c r="BQ95" s="97"/>
      <c r="BR95" s="97"/>
      <c r="BS95" s="97"/>
      <c r="BT95" s="97"/>
      <c r="BU95" s="97"/>
      <c r="CF95" s="97"/>
      <c r="CG95" s="97"/>
      <c r="CH95" s="97"/>
      <c r="CI95" s="97"/>
      <c r="CJ95" s="97"/>
      <c r="CK95" s="97"/>
      <c r="CL95" s="97"/>
      <c r="CM95" s="97"/>
      <c r="CN95" s="97"/>
      <c r="CO95" s="97"/>
      <c r="CP95" s="86" t="str">
        <f>IF(ISBLANK(数据源!AW120),"",数据源!AW120)</f>
        <v/>
      </c>
      <c r="CQ95" s="86"/>
      <c r="CR95" s="86" t="str">
        <f>IF(ISBLANK(数据源!AX120),"",数据源!AX120)</f>
        <v/>
      </c>
      <c r="CS95" s="86" t="str">
        <f>IF(ISBLANK(数据源!AV120),"",数据源!AV120)</f>
        <v/>
      </c>
      <c r="CT95" s="86"/>
      <c r="CU95" s="97" t="s">
        <v>168</v>
      </c>
      <c r="CV95" s="86"/>
      <c r="CW95" s="86" t="str">
        <f>IF(ISBLANK(数据源!AU120),"",数据源!AU120)</f>
        <v/>
      </c>
      <c r="CX95" s="97"/>
      <c r="CY95" s="97"/>
      <c r="CZ95" s="97"/>
      <c r="DA95" s="97">
        <f>IF(数据源!L120&lt;&gt;"QA",0,数据源!O120)</f>
        <v>0</v>
      </c>
      <c r="DB95" s="97">
        <f>数据源!M120</f>
        <v>0</v>
      </c>
      <c r="DC95" s="97">
        <f>数据源!N120</f>
        <v>0</v>
      </c>
      <c r="DD95" s="97">
        <f>IF(数据源!L120&lt;&gt;"QC",0,数据源!O120)</f>
        <v>0</v>
      </c>
    </row>
    <row r="96" spans="1:108">
      <c r="A96" s="1" t="str">
        <f>IF(数据源!K121="外检","#","")</f>
        <v/>
      </c>
      <c r="B96" s="2" t="str">
        <f>IF(ISBLANK(数据源!B121),"",数据源!B121)</f>
        <v/>
      </c>
      <c r="C96" s="2" t="str">
        <f>IF(ISBLANK(数据源!C121),"",IF(数据源!C121="/",数据源!F121,数据源!C121))</f>
        <v/>
      </c>
      <c r="D96" s="2" t="str">
        <f>IF(LEN(数据源!P121)=0,IF(LEN(数据源!D121)=0,"",数据源!D121),数据源!P121)</f>
        <v/>
      </c>
      <c r="E96" s="2"/>
      <c r="F96" s="2" t="str">
        <f>IF(ISBLANK(数据源!E121),"",数据源!E121)</f>
        <v/>
      </c>
      <c r="G96" s="2" t="str">
        <f>IF(ISBLANK(数据源!G121),"",IF(数据源!G121="A","合格","不合格"))</f>
        <v/>
      </c>
      <c r="H96" s="2" t="str">
        <f>IF(ISBLANK(数据源!H121),"",数据源!H121)</f>
        <v/>
      </c>
      <c r="I96" s="2" t="str">
        <f>IF(ISBLANK(数据源!J121),"",数据源!J121)</f>
        <v/>
      </c>
      <c r="J96" s="2" t="str">
        <f>IF(ISBLANK(数据源!L121),"",数据源!L121)</f>
        <v/>
      </c>
      <c r="K96" s="1" t="str">
        <f>IF(数据源!AD121="外检","#","")</f>
        <v/>
      </c>
      <c r="L96" s="2" t="str">
        <f>IF(ISBLANK(数据源!U121),"",数据源!U121)</f>
        <v/>
      </c>
      <c r="M96" s="2" t="str">
        <f>IF(ISBLANK(数据源!V121),"",IF(数据源!V121="/",数据源!Y121,数据源!V121))</f>
        <v/>
      </c>
      <c r="N96" s="2" t="str">
        <f>IF(LEN(数据源!AI121)=0,IF(LEN(数据源!W121)=0,"",数据源!W121),数据源!AI121)</f>
        <v/>
      </c>
      <c r="O96" s="1"/>
      <c r="P96" s="2" t="str">
        <f>IF(ISBLANK(数据源!X121),"",数据源!X121)</f>
        <v/>
      </c>
      <c r="Q96" s="2" t="str">
        <f>IF(ISBLANK(数据源!Z121),"",IF(数据源!Z121="A","合格","不合格"))</f>
        <v/>
      </c>
      <c r="R96" s="2" t="str">
        <f>IF(ISBLANK(数据源!AA121),"",数据源!AA121)</f>
        <v/>
      </c>
      <c r="S96" s="2" t="str">
        <f>IF(ISBLANK(数据源!AC121),"",数据源!AC121)</f>
        <v/>
      </c>
      <c r="T96" s="2" t="str">
        <f>IF(ISBLANK(数据源!AE121),"",数据源!AE121)</f>
        <v/>
      </c>
      <c r="U96" s="97"/>
      <c r="V96" s="97"/>
      <c r="W96" s="97"/>
      <c r="X96" s="97"/>
      <c r="Y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1" t="str">
        <f>IF(数据源!K121="外检","#","")</f>
        <v/>
      </c>
      <c r="AX96" s="2" t="str">
        <f>IF(ISBLANK(数据源!Q121),"",数据源!Q121)</f>
        <v/>
      </c>
      <c r="AY96" s="2" t="str">
        <f>IF(ISBLANK(数据源!R121),"",数据源!R121)</f>
        <v/>
      </c>
      <c r="AZ96" s="2" t="str">
        <f>IF(LEN(数据源!P121)=0,IF(LEN(数据源!D121)=0,"",数据源!D121),数据源!P121)</f>
        <v/>
      </c>
      <c r="BA96" s="2"/>
      <c r="BB96" s="2" t="str">
        <f>IF(ISBLANK(数据源!E121),"",数据源!E121)</f>
        <v/>
      </c>
      <c r="BC96" s="2" t="str">
        <f>IF(ISBLANK(数据源!G121),"",IF(数据源!G121="A","Qualified","Unqualified"))</f>
        <v/>
      </c>
      <c r="BD96" s="2" t="str">
        <f>IF(ISBLANK(数据源!S121),"",数据源!S121)</f>
        <v/>
      </c>
      <c r="BE96" s="2" t="str">
        <f>IF(ISBLANK(数据源!J121),"",数据源!J121)</f>
        <v/>
      </c>
      <c r="BF96" s="2" t="str">
        <f>IF(ISBLANK(数据源!L121),"",数据源!L121)</f>
        <v/>
      </c>
      <c r="BG96" s="1" t="str">
        <f>IF(数据源!AD121="外检","#","")</f>
        <v/>
      </c>
      <c r="BH96" s="2" t="str">
        <f>IF(ISBLANK(数据源!AJ121),"",数据源!AJ121)</f>
        <v/>
      </c>
      <c r="BI96" s="2" t="str">
        <f>IF(ISBLANK(数据源!AK121),"",数据源!AK121)</f>
        <v/>
      </c>
      <c r="BJ96" s="2" t="str">
        <f>IF(LEN(数据源!AI121)=0,IF(LEN(数据源!W121)=0,"",数据源!W121),数据源!AI121)</f>
        <v/>
      </c>
      <c r="BK96" s="1"/>
      <c r="BL96" s="2" t="str">
        <f>IF(ISBLANK(数据源!X121),"",数据源!X121)</f>
        <v/>
      </c>
      <c r="BM96" s="2" t="str">
        <f>IF(ISBLANK(数据源!Z121),"",IF(数据源!Z121="A","Qualified","Unqualified"))</f>
        <v/>
      </c>
      <c r="BN96" s="2" t="str">
        <f>IF(ISBLANK(数据源!AL121),"",数据源!AL121)</f>
        <v/>
      </c>
      <c r="BO96" s="2" t="str">
        <f>IF(ISBLANK(数据源!AC121),"",数据源!AC121)</f>
        <v/>
      </c>
      <c r="BP96" s="2" t="str">
        <f>IF(ISBLANK(数据源!AE121),"",数据源!AE121)</f>
        <v/>
      </c>
      <c r="BQ96" s="97"/>
      <c r="BR96" s="97"/>
      <c r="BS96" s="97"/>
      <c r="BT96" s="97"/>
      <c r="BU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86" t="str">
        <f>IF(ISBLANK(数据源!AW121),"",数据源!AW121)</f>
        <v/>
      </c>
      <c r="CQ96" s="86"/>
      <c r="CR96" s="86" t="str">
        <f>IF(ISBLANK(数据源!AX121),"",数据源!AX121)</f>
        <v/>
      </c>
      <c r="CS96" s="86" t="str">
        <f>IF(ISBLANK(数据源!AV121),"",数据源!AV121)</f>
        <v/>
      </c>
      <c r="CT96" s="86"/>
      <c r="CU96" s="97" t="s">
        <v>168</v>
      </c>
      <c r="CV96" s="86"/>
      <c r="CW96" s="86" t="str">
        <f>IF(ISBLANK(数据源!AU121),"",数据源!AU121)</f>
        <v/>
      </c>
      <c r="CX96" s="97"/>
      <c r="CY96" s="97"/>
      <c r="CZ96" s="97"/>
      <c r="DA96" s="97">
        <f>IF(数据源!L121&lt;&gt;"QA",0,数据源!O121)</f>
        <v>0</v>
      </c>
      <c r="DB96" s="97">
        <f>数据源!M121</f>
        <v>0</v>
      </c>
      <c r="DC96" s="97">
        <f>数据源!N121</f>
        <v>0</v>
      </c>
      <c r="DD96" s="97">
        <f>IF(数据源!L121&lt;&gt;"QC",0,数据源!O121)</f>
        <v>0</v>
      </c>
    </row>
    <row r="97" spans="1:108">
      <c r="A97" s="1" t="str">
        <f>IF(数据源!K122="外检","#","")</f>
        <v/>
      </c>
      <c r="B97" s="2" t="str">
        <f>IF(ISBLANK(数据源!B122),"",数据源!B122)</f>
        <v/>
      </c>
      <c r="C97" s="2" t="str">
        <f>IF(ISBLANK(数据源!C122),"",IF(数据源!C122="/",数据源!F122,数据源!C122))</f>
        <v/>
      </c>
      <c r="D97" s="2" t="str">
        <f>IF(LEN(数据源!P122)=0,IF(LEN(数据源!D122)=0,"",数据源!D122),数据源!P122)</f>
        <v/>
      </c>
      <c r="E97" s="2"/>
      <c r="F97" s="2" t="str">
        <f>IF(ISBLANK(数据源!E122),"",数据源!E122)</f>
        <v/>
      </c>
      <c r="G97" s="2" t="str">
        <f>IF(ISBLANK(数据源!G122),"",IF(数据源!G122="A","合格","不合格"))</f>
        <v/>
      </c>
      <c r="H97" s="2" t="str">
        <f>IF(ISBLANK(数据源!H122),"",数据源!H122)</f>
        <v/>
      </c>
      <c r="I97" s="2" t="str">
        <f>IF(ISBLANK(数据源!J122),"",数据源!J122)</f>
        <v/>
      </c>
      <c r="J97" s="2" t="str">
        <f>IF(ISBLANK(数据源!L122),"",数据源!L122)</f>
        <v/>
      </c>
      <c r="K97" s="1" t="str">
        <f>IF(数据源!AD122="外检","#","")</f>
        <v/>
      </c>
      <c r="L97" s="2" t="str">
        <f>IF(ISBLANK(数据源!U122),"",数据源!U122)</f>
        <v/>
      </c>
      <c r="M97" s="2" t="str">
        <f>IF(ISBLANK(数据源!V122),"",IF(数据源!V122="/",数据源!Y122,数据源!V122))</f>
        <v/>
      </c>
      <c r="N97" s="2" t="str">
        <f>IF(LEN(数据源!AI122)=0,IF(LEN(数据源!W122)=0,"",数据源!W122),数据源!AI122)</f>
        <v/>
      </c>
      <c r="O97" s="1"/>
      <c r="P97" s="2" t="str">
        <f>IF(ISBLANK(数据源!X122),"",数据源!X122)</f>
        <v/>
      </c>
      <c r="Q97" s="2" t="str">
        <f>IF(ISBLANK(数据源!Z122),"",IF(数据源!Z122="A","合格","不合格"))</f>
        <v/>
      </c>
      <c r="R97" s="2" t="str">
        <f>IF(ISBLANK(数据源!AA122),"",数据源!AA122)</f>
        <v/>
      </c>
      <c r="S97" s="2" t="str">
        <f>IF(ISBLANK(数据源!AC122),"",数据源!AC122)</f>
        <v/>
      </c>
      <c r="T97" s="2" t="str">
        <f>IF(ISBLANK(数据源!AE122),"",数据源!AE122)</f>
        <v/>
      </c>
      <c r="U97" s="97"/>
      <c r="V97" s="97"/>
      <c r="W97" s="97"/>
      <c r="X97" s="97"/>
      <c r="Y97" s="97"/>
      <c r="AT97" s="97"/>
      <c r="AU97" s="97"/>
      <c r="AV97" s="97"/>
      <c r="AW97" s="1" t="str">
        <f>IF(数据源!K122="外检","#","")</f>
        <v/>
      </c>
      <c r="AX97" s="2" t="str">
        <f>IF(ISBLANK(数据源!Q122),"",数据源!Q122)</f>
        <v/>
      </c>
      <c r="AY97" s="2" t="str">
        <f>IF(ISBLANK(数据源!R122),"",数据源!R122)</f>
        <v/>
      </c>
      <c r="AZ97" s="2" t="str">
        <f>IF(LEN(数据源!P122)=0,IF(LEN(数据源!D122)=0,"",数据源!D122),数据源!P122)</f>
        <v/>
      </c>
      <c r="BA97" s="2"/>
      <c r="BB97" s="2" t="str">
        <f>IF(ISBLANK(数据源!E122),"",数据源!E122)</f>
        <v/>
      </c>
      <c r="BC97" s="2" t="str">
        <f>IF(ISBLANK(数据源!G122),"",IF(数据源!G122="A","Qualified","Unqualified"))</f>
        <v/>
      </c>
      <c r="BD97" s="2" t="str">
        <f>IF(ISBLANK(数据源!S122),"",数据源!S122)</f>
        <v/>
      </c>
      <c r="BE97" s="2" t="str">
        <f>IF(ISBLANK(数据源!J122),"",数据源!J122)</f>
        <v/>
      </c>
      <c r="BF97" s="2" t="str">
        <f>IF(ISBLANK(数据源!L122),"",数据源!L122)</f>
        <v/>
      </c>
      <c r="BG97" s="1" t="str">
        <f>IF(数据源!AD122="外检","#","")</f>
        <v/>
      </c>
      <c r="BH97" s="2" t="str">
        <f>IF(ISBLANK(数据源!AJ122),"",数据源!AJ122)</f>
        <v/>
      </c>
      <c r="BI97" s="2" t="str">
        <f>IF(ISBLANK(数据源!AK122),"",数据源!AK122)</f>
        <v/>
      </c>
      <c r="BJ97" s="2" t="str">
        <f>IF(LEN(数据源!AI122)=0,IF(LEN(数据源!W122)=0,"",数据源!W122),数据源!AI122)</f>
        <v/>
      </c>
      <c r="BK97" s="1"/>
      <c r="BL97" s="2" t="str">
        <f>IF(ISBLANK(数据源!X122),"",数据源!X122)</f>
        <v/>
      </c>
      <c r="BM97" s="2" t="str">
        <f>IF(ISBLANK(数据源!Z122),"",IF(数据源!Z122="A","Qualified","Unqualified"))</f>
        <v/>
      </c>
      <c r="BN97" s="2" t="str">
        <f>IF(ISBLANK(数据源!AL122),"",数据源!AL122)</f>
        <v/>
      </c>
      <c r="BO97" s="2" t="str">
        <f>IF(ISBLANK(数据源!AC122),"",数据源!AC122)</f>
        <v/>
      </c>
      <c r="BP97" s="2" t="str">
        <f>IF(ISBLANK(数据源!AE122),"",数据源!AE122)</f>
        <v/>
      </c>
      <c r="BQ97" s="97"/>
      <c r="BR97" s="97"/>
      <c r="BS97" s="97"/>
      <c r="BT97" s="97"/>
      <c r="BU97" s="97"/>
      <c r="CP97" s="86" t="str">
        <f>IF(ISBLANK(数据源!AW122),"",数据源!AW122)</f>
        <v/>
      </c>
      <c r="CQ97" s="86"/>
      <c r="CR97" s="86" t="str">
        <f>IF(ISBLANK(数据源!AX122),"",数据源!AX122)</f>
        <v/>
      </c>
      <c r="CS97" s="86" t="str">
        <f>IF(ISBLANK(数据源!AV122),"",数据源!AV122)</f>
        <v/>
      </c>
      <c r="CT97" s="86"/>
      <c r="CU97" s="97" t="s">
        <v>168</v>
      </c>
      <c r="CV97" s="86"/>
      <c r="CW97" s="86" t="str">
        <f>IF(ISBLANK(数据源!AU122),"",数据源!AU122)</f>
        <v/>
      </c>
      <c r="CX97" s="97"/>
      <c r="CY97" s="97"/>
      <c r="CZ97" s="97"/>
      <c r="DA97" s="97">
        <f>IF(数据源!L122&lt;&gt;"QA",0,数据源!O122)</f>
        <v>0</v>
      </c>
      <c r="DB97" s="97">
        <f>数据源!M122</f>
        <v>0</v>
      </c>
      <c r="DC97" s="97">
        <f>数据源!N122</f>
        <v>0</v>
      </c>
      <c r="DD97" s="97">
        <f>IF(数据源!L122&lt;&gt;"QC",0,数据源!O122)</f>
        <v>0</v>
      </c>
    </row>
    <row r="98" spans="1:108">
      <c r="A98" s="1" t="str">
        <f>IF(数据源!K123="外检","#","")</f>
        <v/>
      </c>
      <c r="B98" s="2" t="str">
        <f>IF(ISBLANK(数据源!B123),"",数据源!B123)</f>
        <v/>
      </c>
      <c r="C98" s="2" t="str">
        <f>IF(ISBLANK(数据源!C123),"",IF(数据源!C123="/",数据源!F123,数据源!C123))</f>
        <v/>
      </c>
      <c r="D98" s="2" t="str">
        <f>IF(LEN(数据源!P123)=0,IF(LEN(数据源!D123)=0,"",数据源!D123),数据源!P123)</f>
        <v/>
      </c>
      <c r="E98" s="2"/>
      <c r="F98" s="2" t="str">
        <f>IF(ISBLANK(数据源!E123),"",数据源!E123)</f>
        <v/>
      </c>
      <c r="G98" s="2" t="str">
        <f>IF(ISBLANK(数据源!G123),"",IF(数据源!G123="A","合格","不合格"))</f>
        <v/>
      </c>
      <c r="H98" s="2" t="str">
        <f>IF(ISBLANK(数据源!H123),"",数据源!H123)</f>
        <v/>
      </c>
      <c r="I98" s="2" t="str">
        <f>IF(ISBLANK(数据源!J123),"",数据源!J123)</f>
        <v/>
      </c>
      <c r="J98" s="2" t="str">
        <f>IF(ISBLANK(数据源!L123),"",数据源!L123)</f>
        <v/>
      </c>
      <c r="K98" s="1" t="str">
        <f>IF(数据源!AD123="外检","#","")</f>
        <v/>
      </c>
      <c r="L98" s="2" t="str">
        <f>IF(ISBLANK(数据源!U123),"",数据源!U123)</f>
        <v/>
      </c>
      <c r="M98" s="2" t="str">
        <f>IF(ISBLANK(数据源!V123),"",IF(数据源!V123="/",数据源!Y123,数据源!V123))</f>
        <v/>
      </c>
      <c r="N98" s="2" t="str">
        <f>IF(LEN(数据源!AI123)=0,IF(LEN(数据源!W123)=0,"",数据源!W123),数据源!AI123)</f>
        <v/>
      </c>
      <c r="O98" s="1"/>
      <c r="P98" s="2" t="str">
        <f>IF(ISBLANK(数据源!X123),"",数据源!X123)</f>
        <v/>
      </c>
      <c r="Q98" s="2" t="str">
        <f>IF(ISBLANK(数据源!Z123),"",IF(数据源!Z123="A","合格","不合格"))</f>
        <v/>
      </c>
      <c r="R98" s="2" t="str">
        <f>IF(ISBLANK(数据源!AA123),"",数据源!AA123)</f>
        <v/>
      </c>
      <c r="S98" s="2" t="str">
        <f>IF(ISBLANK(数据源!AC123),"",数据源!AC123)</f>
        <v/>
      </c>
      <c r="T98" s="2" t="str">
        <f>IF(ISBLANK(数据源!AE123),"",数据源!AE123)</f>
        <v/>
      </c>
      <c r="U98" s="97"/>
      <c r="V98" s="97"/>
      <c r="W98" s="97"/>
      <c r="X98" s="97"/>
      <c r="Y98" s="97"/>
      <c r="AT98" s="97"/>
      <c r="AU98" s="97"/>
      <c r="AV98" s="97"/>
      <c r="AW98" s="1" t="str">
        <f>IF(数据源!K123="外检","#","")</f>
        <v/>
      </c>
      <c r="AX98" s="2" t="str">
        <f>IF(ISBLANK(数据源!Q123),"",数据源!Q123)</f>
        <v/>
      </c>
      <c r="AY98" s="2" t="str">
        <f>IF(ISBLANK(数据源!R123),"",数据源!R123)</f>
        <v/>
      </c>
      <c r="AZ98" s="2" t="str">
        <f>IF(LEN(数据源!P123)=0,IF(LEN(数据源!D123)=0,"",数据源!D123),数据源!P123)</f>
        <v/>
      </c>
      <c r="BA98" s="2"/>
      <c r="BB98" s="2" t="str">
        <f>IF(ISBLANK(数据源!E123),"",数据源!E123)</f>
        <v/>
      </c>
      <c r="BC98" s="2" t="str">
        <f>IF(ISBLANK(数据源!G123),"",IF(数据源!G123="A","Qualified","Unqualified"))</f>
        <v/>
      </c>
      <c r="BD98" s="2" t="str">
        <f>IF(ISBLANK(数据源!S123),"",数据源!S123)</f>
        <v/>
      </c>
      <c r="BE98" s="2" t="str">
        <f>IF(ISBLANK(数据源!J123),"",数据源!J123)</f>
        <v/>
      </c>
      <c r="BF98" s="2" t="str">
        <f>IF(ISBLANK(数据源!L123),"",数据源!L123)</f>
        <v/>
      </c>
      <c r="BG98" s="1" t="str">
        <f>IF(数据源!AD123="外检","#","")</f>
        <v/>
      </c>
      <c r="BH98" s="2" t="str">
        <f>IF(ISBLANK(数据源!AJ123),"",数据源!AJ123)</f>
        <v/>
      </c>
      <c r="BI98" s="2" t="str">
        <f>IF(ISBLANK(数据源!AK123),"",数据源!AK123)</f>
        <v/>
      </c>
      <c r="BJ98" s="2" t="str">
        <f>IF(LEN(数据源!AI123)=0,IF(LEN(数据源!W123)=0,"",数据源!W123),数据源!AI123)</f>
        <v/>
      </c>
      <c r="BK98" s="1"/>
      <c r="BL98" s="2" t="str">
        <f>IF(ISBLANK(数据源!X123),"",数据源!X123)</f>
        <v/>
      </c>
      <c r="BM98" s="2" t="str">
        <f>IF(ISBLANK(数据源!Z123),"",IF(数据源!Z123="A","Qualified","Unqualified"))</f>
        <v/>
      </c>
      <c r="BN98" s="2" t="str">
        <f>IF(ISBLANK(数据源!AL123),"",数据源!AL123)</f>
        <v/>
      </c>
      <c r="BO98" s="2" t="str">
        <f>IF(ISBLANK(数据源!AC123),"",数据源!AC123)</f>
        <v/>
      </c>
      <c r="BP98" s="2" t="str">
        <f>IF(ISBLANK(数据源!AE123),"",数据源!AE123)</f>
        <v/>
      </c>
      <c r="BQ98" s="97"/>
      <c r="BR98" s="97"/>
      <c r="BS98" s="97"/>
      <c r="BT98" s="97"/>
      <c r="BU98" s="97"/>
      <c r="CP98" s="86" t="str">
        <f>IF(ISBLANK(数据源!AW123),"",数据源!AW123)</f>
        <v/>
      </c>
      <c r="CQ98" s="86"/>
      <c r="CR98" s="86" t="str">
        <f>IF(ISBLANK(数据源!AX123),"",数据源!AX123)</f>
        <v/>
      </c>
      <c r="CS98" s="86" t="str">
        <f>IF(ISBLANK(数据源!AV123),"",数据源!AV123)</f>
        <v/>
      </c>
      <c r="CT98" s="86"/>
      <c r="CU98" s="97" t="s">
        <v>168</v>
      </c>
      <c r="CV98" s="86"/>
      <c r="CW98" s="86" t="str">
        <f>IF(ISBLANK(数据源!AU123),"",数据源!AU123)</f>
        <v/>
      </c>
      <c r="CX98" s="97"/>
      <c r="CY98" s="97"/>
      <c r="CZ98" s="97"/>
      <c r="DA98" s="97">
        <f>IF(数据源!L123&lt;&gt;"QA",0,数据源!O123)</f>
        <v>0</v>
      </c>
      <c r="DB98" s="97">
        <f>数据源!M123</f>
        <v>0</v>
      </c>
      <c r="DC98" s="97">
        <f>数据源!N123</f>
        <v>0</v>
      </c>
      <c r="DD98" s="97">
        <f>IF(数据源!L123&lt;&gt;"QC",0,数据源!O123)</f>
        <v>0</v>
      </c>
    </row>
    <row r="99" spans="1:108">
      <c r="A99" s="1" t="str">
        <f>IF(数据源!K124="外检","#","")</f>
        <v/>
      </c>
      <c r="B99" s="2" t="str">
        <f>IF(ISBLANK(数据源!B124),"",数据源!B124)</f>
        <v/>
      </c>
      <c r="C99" s="2" t="str">
        <f>IF(ISBLANK(数据源!C124),"",IF(数据源!C124="/",数据源!F124,数据源!C124))</f>
        <v/>
      </c>
      <c r="D99" s="2" t="str">
        <f>IF(LEN(数据源!P124)=0,IF(LEN(数据源!D124)=0,"",数据源!D124),数据源!P124)</f>
        <v/>
      </c>
      <c r="E99" s="2"/>
      <c r="F99" s="2" t="str">
        <f>IF(ISBLANK(数据源!E124),"",数据源!E124)</f>
        <v/>
      </c>
      <c r="G99" s="2" t="str">
        <f>IF(ISBLANK(数据源!G124),"",IF(数据源!G124="A","合格","不合格"))</f>
        <v/>
      </c>
      <c r="H99" s="2" t="str">
        <f>IF(ISBLANK(数据源!H124),"",数据源!H124)</f>
        <v/>
      </c>
      <c r="I99" s="2" t="str">
        <f>IF(ISBLANK(数据源!J124),"",数据源!J124)</f>
        <v/>
      </c>
      <c r="J99" s="2" t="str">
        <f>IF(ISBLANK(数据源!L124),"",数据源!L124)</f>
        <v/>
      </c>
      <c r="K99" s="1" t="str">
        <f>IF(数据源!AD124="外检","#","")</f>
        <v/>
      </c>
      <c r="L99" s="2" t="str">
        <f>IF(ISBLANK(数据源!U124),"",数据源!U124)</f>
        <v/>
      </c>
      <c r="M99" s="2" t="str">
        <f>IF(ISBLANK(数据源!V124),"",IF(数据源!V124="/",数据源!Y124,数据源!V124))</f>
        <v/>
      </c>
      <c r="N99" s="2" t="str">
        <f>IF(LEN(数据源!AI124)=0,IF(LEN(数据源!W124)=0,"",数据源!W124),数据源!AI124)</f>
        <v/>
      </c>
      <c r="O99" s="1"/>
      <c r="P99" s="2" t="str">
        <f>IF(ISBLANK(数据源!X124),"",数据源!X124)</f>
        <v/>
      </c>
      <c r="Q99" s="2" t="str">
        <f>IF(ISBLANK(数据源!Z124),"",IF(数据源!Z124="A","合格","不合格"))</f>
        <v/>
      </c>
      <c r="R99" s="2" t="str">
        <f>IF(ISBLANK(数据源!AA124),"",数据源!AA124)</f>
        <v/>
      </c>
      <c r="S99" s="2" t="str">
        <f>IF(ISBLANK(数据源!AC124),"",数据源!AC124)</f>
        <v/>
      </c>
      <c r="T99" s="2" t="str">
        <f>IF(ISBLANK(数据源!AE124),"",数据源!AE124)</f>
        <v/>
      </c>
      <c r="U99" s="97"/>
      <c r="V99" s="97"/>
      <c r="W99" s="97"/>
      <c r="X99" s="97"/>
      <c r="Y99" s="97"/>
      <c r="AT99" s="97"/>
      <c r="AU99" s="97"/>
      <c r="AV99" s="97"/>
      <c r="AW99" s="1" t="str">
        <f>IF(数据源!K124="外检","#","")</f>
        <v/>
      </c>
      <c r="AX99" s="2" t="str">
        <f>IF(ISBLANK(数据源!Q124),"",数据源!Q124)</f>
        <v/>
      </c>
      <c r="AY99" s="2" t="str">
        <f>IF(ISBLANK(数据源!R124),"",数据源!R124)</f>
        <v/>
      </c>
      <c r="AZ99" s="2" t="str">
        <f>IF(LEN(数据源!P124)=0,IF(LEN(数据源!D124)=0,"",数据源!D124),数据源!P124)</f>
        <v/>
      </c>
      <c r="BA99" s="2"/>
      <c r="BB99" s="2" t="str">
        <f>IF(ISBLANK(数据源!E124),"",数据源!E124)</f>
        <v/>
      </c>
      <c r="BC99" s="2" t="str">
        <f>IF(ISBLANK(数据源!G124),"",IF(数据源!G124="A","Qualified","Unqualified"))</f>
        <v/>
      </c>
      <c r="BD99" s="2" t="str">
        <f>IF(ISBLANK(数据源!S124),"",数据源!S124)</f>
        <v/>
      </c>
      <c r="BE99" s="2" t="str">
        <f>IF(ISBLANK(数据源!J124),"",数据源!J124)</f>
        <v/>
      </c>
      <c r="BF99" s="2" t="str">
        <f>IF(ISBLANK(数据源!L124),"",数据源!L124)</f>
        <v/>
      </c>
      <c r="BG99" s="1" t="str">
        <f>IF(数据源!AD124="外检","#","")</f>
        <v/>
      </c>
      <c r="BH99" s="2" t="str">
        <f>IF(ISBLANK(数据源!AJ124),"",数据源!AJ124)</f>
        <v/>
      </c>
      <c r="BI99" s="2" t="str">
        <f>IF(ISBLANK(数据源!AK124),"",数据源!AK124)</f>
        <v/>
      </c>
      <c r="BJ99" s="2" t="str">
        <f>IF(LEN(数据源!AI124)=0,IF(LEN(数据源!W124)=0,"",数据源!W124),数据源!AI124)</f>
        <v/>
      </c>
      <c r="BK99" s="1"/>
      <c r="BL99" s="2" t="str">
        <f>IF(ISBLANK(数据源!X124),"",数据源!X124)</f>
        <v/>
      </c>
      <c r="BM99" s="2" t="str">
        <f>IF(ISBLANK(数据源!Z124),"",IF(数据源!Z124="A","Qualified","Unqualified"))</f>
        <v/>
      </c>
      <c r="BN99" s="2" t="str">
        <f>IF(ISBLANK(数据源!AL124),"",数据源!AL124)</f>
        <v/>
      </c>
      <c r="BO99" s="2" t="str">
        <f>IF(ISBLANK(数据源!AC124),"",数据源!AC124)</f>
        <v/>
      </c>
      <c r="BP99" s="2" t="str">
        <f>IF(ISBLANK(数据源!AE124),"",数据源!AE124)</f>
        <v/>
      </c>
      <c r="BQ99" s="97"/>
      <c r="BR99" s="97"/>
      <c r="BS99" s="97"/>
      <c r="BT99" s="97"/>
      <c r="BU99" s="97"/>
      <c r="CP99" s="86" t="str">
        <f>IF(ISBLANK(数据源!AW124),"",数据源!AW124)</f>
        <v/>
      </c>
      <c r="CQ99" s="86"/>
      <c r="CR99" s="86" t="str">
        <f>IF(ISBLANK(数据源!AX124),"",数据源!AX124)</f>
        <v/>
      </c>
      <c r="CS99" s="86" t="str">
        <f>IF(ISBLANK(数据源!AV124),"",数据源!AV124)</f>
        <v/>
      </c>
      <c r="CT99" s="86"/>
      <c r="CU99" s="97" t="s">
        <v>168</v>
      </c>
      <c r="CV99" s="86"/>
      <c r="CW99" s="86" t="str">
        <f>IF(ISBLANK(数据源!AU124),"",数据源!AU124)</f>
        <v/>
      </c>
      <c r="CX99" s="97"/>
      <c r="CY99" s="97"/>
      <c r="CZ99" s="97"/>
      <c r="DA99" s="97">
        <f>IF(数据源!L124&lt;&gt;"QA",0,数据源!O124)</f>
        <v>0</v>
      </c>
      <c r="DB99" s="97">
        <f>数据源!M124</f>
        <v>0</v>
      </c>
      <c r="DC99" s="97">
        <f>数据源!N124</f>
        <v>0</v>
      </c>
      <c r="DD99" s="97">
        <f>IF(数据源!L124&lt;&gt;"QC",0,数据源!O124)</f>
        <v>0</v>
      </c>
    </row>
    <row r="100" spans="1:108">
      <c r="A100" s="1" t="str">
        <f>IF(数据源!K125="外检","#","")</f>
        <v/>
      </c>
      <c r="B100" s="2" t="str">
        <f>IF(ISBLANK(数据源!B125),"",数据源!B125)</f>
        <v/>
      </c>
      <c r="C100" s="2" t="str">
        <f>IF(ISBLANK(数据源!C125),"",IF(数据源!C125="/",数据源!F125,数据源!C125))</f>
        <v/>
      </c>
      <c r="D100" s="2" t="str">
        <f>IF(LEN(数据源!P125)=0,IF(LEN(数据源!D125)=0,"",数据源!D125),数据源!P125)</f>
        <v/>
      </c>
      <c r="E100" s="2"/>
      <c r="F100" s="2" t="str">
        <f>IF(ISBLANK(数据源!E125),"",数据源!E125)</f>
        <v/>
      </c>
      <c r="G100" s="2" t="str">
        <f>IF(ISBLANK(数据源!G125),"",IF(数据源!G125="A","合格","不合格"))</f>
        <v/>
      </c>
      <c r="H100" s="2" t="str">
        <f>IF(ISBLANK(数据源!H125),"",数据源!H125)</f>
        <v/>
      </c>
      <c r="I100" s="2" t="str">
        <f>IF(ISBLANK(数据源!J125),"",数据源!J125)</f>
        <v/>
      </c>
      <c r="J100" s="2" t="str">
        <f>IF(ISBLANK(数据源!L125),"",数据源!L125)</f>
        <v/>
      </c>
      <c r="K100" s="1" t="str">
        <f>IF(数据源!AD125="外检","#","")</f>
        <v/>
      </c>
      <c r="L100" s="2" t="str">
        <f>IF(ISBLANK(数据源!U125),"",数据源!U125)</f>
        <v/>
      </c>
      <c r="M100" s="2" t="str">
        <f>IF(ISBLANK(数据源!V125),"",IF(数据源!V125="/",数据源!Y125,数据源!V125))</f>
        <v/>
      </c>
      <c r="N100" s="2" t="str">
        <f>IF(LEN(数据源!AI125)=0,IF(LEN(数据源!W125)=0,"",数据源!W125),数据源!AI125)</f>
        <v/>
      </c>
      <c r="O100" s="1"/>
      <c r="P100" s="2" t="str">
        <f>IF(ISBLANK(数据源!X125),"",数据源!X125)</f>
        <v/>
      </c>
      <c r="Q100" s="2" t="str">
        <f>IF(ISBLANK(数据源!Z125),"",IF(数据源!Z125="A","合格","不合格"))</f>
        <v/>
      </c>
      <c r="R100" s="2" t="str">
        <f>IF(ISBLANK(数据源!AA125),"",数据源!AA125)</f>
        <v/>
      </c>
      <c r="S100" s="2" t="str">
        <f>IF(ISBLANK(数据源!AC125),"",数据源!AC125)</f>
        <v/>
      </c>
      <c r="T100" s="2" t="str">
        <f>IF(ISBLANK(数据源!AE125),"",数据源!AE125)</f>
        <v/>
      </c>
      <c r="U100" s="97"/>
      <c r="V100" s="97"/>
      <c r="W100" s="97"/>
      <c r="X100" s="97"/>
      <c r="Y100" s="97"/>
      <c r="AT100" s="97"/>
      <c r="AU100" s="97"/>
      <c r="AV100" s="97"/>
      <c r="AW100" s="1" t="str">
        <f>IF(数据源!K125="外检","#","")</f>
        <v/>
      </c>
      <c r="AX100" s="2" t="str">
        <f>IF(ISBLANK(数据源!Q125),"",数据源!Q125)</f>
        <v/>
      </c>
      <c r="AY100" s="2" t="str">
        <f>IF(ISBLANK(数据源!R125),"",数据源!R125)</f>
        <v/>
      </c>
      <c r="AZ100" s="2" t="str">
        <f>IF(LEN(数据源!P125)=0,IF(LEN(数据源!D125)=0,"",数据源!D125),数据源!P125)</f>
        <v/>
      </c>
      <c r="BA100" s="2"/>
      <c r="BB100" s="2" t="str">
        <f>IF(ISBLANK(数据源!E125),"",数据源!E125)</f>
        <v/>
      </c>
      <c r="BC100" s="2" t="str">
        <f>IF(ISBLANK(数据源!G125),"",IF(数据源!G125="A","Qualified","Unqualified"))</f>
        <v/>
      </c>
      <c r="BD100" s="2" t="str">
        <f>IF(ISBLANK(数据源!S125),"",数据源!S125)</f>
        <v/>
      </c>
      <c r="BE100" s="2" t="str">
        <f>IF(ISBLANK(数据源!J125),"",数据源!J125)</f>
        <v/>
      </c>
      <c r="BF100" s="2" t="str">
        <f>IF(ISBLANK(数据源!L125),"",数据源!L125)</f>
        <v/>
      </c>
      <c r="BG100" s="1" t="str">
        <f>IF(数据源!AD125="外检","#","")</f>
        <v/>
      </c>
      <c r="BH100" s="2" t="str">
        <f>IF(ISBLANK(数据源!AJ125),"",数据源!AJ125)</f>
        <v/>
      </c>
      <c r="BI100" s="2" t="str">
        <f>IF(ISBLANK(数据源!AK125),"",数据源!AK125)</f>
        <v/>
      </c>
      <c r="BJ100" s="2" t="str">
        <f>IF(LEN(数据源!AI125)=0,IF(LEN(数据源!W125)=0,"",数据源!W125),数据源!AI125)</f>
        <v/>
      </c>
      <c r="BK100" s="1"/>
      <c r="BL100" s="2" t="str">
        <f>IF(ISBLANK(数据源!X125),"",数据源!X125)</f>
        <v/>
      </c>
      <c r="BM100" s="2" t="str">
        <f>IF(ISBLANK(数据源!Z125),"",IF(数据源!Z125="A","Qualified","Unqualified"))</f>
        <v/>
      </c>
      <c r="BN100" s="2" t="str">
        <f>IF(ISBLANK(数据源!AL125),"",数据源!AL125)</f>
        <v/>
      </c>
      <c r="BO100" s="2" t="str">
        <f>IF(ISBLANK(数据源!AC125),"",数据源!AC125)</f>
        <v/>
      </c>
      <c r="BP100" s="2" t="str">
        <f>IF(ISBLANK(数据源!AE125),"",数据源!AE125)</f>
        <v/>
      </c>
      <c r="BQ100" s="97"/>
      <c r="BR100" s="97"/>
      <c r="BS100" s="97"/>
      <c r="BT100" s="97"/>
      <c r="BU100" s="97"/>
      <c r="CP100" s="86" t="str">
        <f>IF(ISBLANK(数据源!AW125),"",数据源!AW125)</f>
        <v/>
      </c>
      <c r="CQ100" s="86"/>
      <c r="CR100" s="86" t="str">
        <f>IF(ISBLANK(数据源!AX125),"",数据源!AX125)</f>
        <v/>
      </c>
      <c r="CS100" s="86" t="str">
        <f>IF(ISBLANK(数据源!AV125),"",数据源!AV125)</f>
        <v/>
      </c>
      <c r="CT100" s="86"/>
      <c r="CU100" s="97" t="s">
        <v>168</v>
      </c>
      <c r="CV100" s="86"/>
      <c r="CW100" s="86" t="str">
        <f>IF(ISBLANK(数据源!AU125),"",数据源!AU125)</f>
        <v/>
      </c>
      <c r="CX100" s="97"/>
      <c r="CY100" s="97"/>
      <c r="CZ100" s="97"/>
      <c r="DA100" s="97">
        <f>IF(数据源!L125&lt;&gt;"QA",0,数据源!O125)</f>
        <v>0</v>
      </c>
      <c r="DB100" s="97">
        <f>数据源!M125</f>
        <v>0</v>
      </c>
      <c r="DC100" s="97">
        <f>数据源!N125</f>
        <v>0</v>
      </c>
      <c r="DD100" s="97">
        <f>IF(数据源!L125&lt;&gt;"QC",0,数据源!O125)</f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V64"/>
  <sheetViews>
    <sheetView tabSelected="1" workbookViewId="0">
      <selection activeCell="B1" sqref="B1"/>
    </sheetView>
  </sheetViews>
  <sheetFormatPr defaultColWidth="40.25" defaultRowHeight="13.5"/>
  <cols>
    <col min="1" max="1" width="10.125" bestFit="1" customWidth="1"/>
    <col min="2" max="2" width="40" bestFit="1" customWidth="1"/>
    <col min="3" max="3" width="21.25" bestFit="1" customWidth="1"/>
    <col min="4" max="4" width="40.125" bestFit="1" customWidth="1"/>
    <col min="5" max="7" width="5.625" bestFit="1" customWidth="1"/>
    <col min="8" max="9" width="8.75" bestFit="1" customWidth="1"/>
    <col min="10" max="10" width="40" bestFit="1" customWidth="1"/>
    <col min="11" max="11" width="7.875" bestFit="1" customWidth="1"/>
    <col min="12" max="12" width="5.875" bestFit="1" customWidth="1"/>
    <col min="13" max="13" width="4.875" bestFit="1" customWidth="1"/>
    <col min="14" max="14" width="8.75" bestFit="1" customWidth="1"/>
    <col min="15" max="15" width="2.875" bestFit="1" customWidth="1"/>
    <col min="16" max="16" width="8.25" bestFit="1" customWidth="1"/>
    <col min="17" max="17" width="37.75" bestFit="1" customWidth="1"/>
    <col min="18" max="19" width="8.75" bestFit="1" customWidth="1"/>
    <col min="20" max="20" width="8.25" bestFit="1" customWidth="1"/>
    <col min="21" max="21" width="39.125" bestFit="1" customWidth="1"/>
    <col min="22" max="25" width="5.625" bestFit="1" customWidth="1"/>
    <col min="26" max="26" width="12" bestFit="1" customWidth="1"/>
    <col min="27" max="27" width="5.75" bestFit="1" customWidth="1"/>
    <col min="28" max="28" width="37.875" bestFit="1" customWidth="1"/>
    <col min="29" max="29" width="8.75" bestFit="1" customWidth="1"/>
    <col min="30" max="30" width="5.5" bestFit="1" customWidth="1"/>
    <col min="31" max="32" width="4.875" bestFit="1" customWidth="1"/>
    <col min="33" max="34" width="8.75" bestFit="1" customWidth="1"/>
    <col min="35" max="35" width="39.375" bestFit="1" customWidth="1"/>
    <col min="36" max="36" width="7.875" bestFit="1" customWidth="1"/>
    <col min="37" max="38" width="4.875" bestFit="1" customWidth="1"/>
    <col min="39" max="39" width="8.75" bestFit="1" customWidth="1"/>
    <col min="41" max="42" width="4.875" bestFit="1" customWidth="1"/>
    <col min="43" max="43" width="8.75" bestFit="1" customWidth="1"/>
    <col min="44" max="45" width="10.125" bestFit="1" customWidth="1"/>
    <col min="46" max="46" width="4.875" bestFit="1" customWidth="1"/>
    <col min="47" max="47" width="8.75" bestFit="1" customWidth="1"/>
    <col min="49" max="49" width="8.75" bestFit="1" customWidth="1"/>
    <col min="50" max="51" width="7.375" bestFit="1" customWidth="1"/>
    <col min="52" max="52" width="8.75" bestFit="1" customWidth="1"/>
    <col min="54" max="55" width="4.875" bestFit="1" customWidth="1"/>
    <col min="56" max="56" width="11.25" bestFit="1" customWidth="1"/>
    <col min="57" max="57" width="8.75" bestFit="1" customWidth="1"/>
    <col min="58" max="58" width="7.125" bestFit="1" customWidth="1"/>
    <col min="59" max="59" width="12.625" bestFit="1" customWidth="1"/>
    <col min="60" max="61" width="7.375" bestFit="1" customWidth="1"/>
    <col min="62" max="62" width="8.75" bestFit="1" customWidth="1"/>
    <col min="64" max="65" width="4.875" bestFit="1" customWidth="1"/>
    <col min="66" max="66" width="11.25" bestFit="1" customWidth="1"/>
    <col min="67" max="67" width="8.75" bestFit="1" customWidth="1"/>
    <col min="68" max="68" width="7.125" bestFit="1" customWidth="1"/>
    <col min="74" max="74" width="8.75" bestFit="1" customWidth="1"/>
    <col min="75" max="76" width="7.375" bestFit="1" customWidth="1"/>
    <col min="77" max="77" width="8.75" bestFit="1" customWidth="1"/>
    <col min="79" max="80" width="4.875" bestFit="1" customWidth="1"/>
    <col min="81" max="81" width="11.25" bestFit="1" customWidth="1"/>
    <col min="82" max="82" width="8.75" bestFit="1" customWidth="1"/>
    <col min="83" max="83" width="7.125" bestFit="1" customWidth="1"/>
    <col min="84" max="84" width="12.625" bestFit="1" customWidth="1"/>
    <col min="85" max="86" width="7.375" bestFit="1" customWidth="1"/>
    <col min="87" max="87" width="8.75" bestFit="1" customWidth="1"/>
    <col min="89" max="90" width="4.875" bestFit="1" customWidth="1"/>
    <col min="91" max="91" width="11.25" bestFit="1" customWidth="1"/>
    <col min="92" max="92" width="8.75" bestFit="1" customWidth="1"/>
    <col min="93" max="93" width="7.125" bestFit="1" customWidth="1"/>
    <col min="94" max="94" width="7.375" bestFit="1" customWidth="1"/>
    <col min="96" max="96" width="7.375" bestFit="1" customWidth="1"/>
    <col min="97" max="97" width="4.875" bestFit="1" customWidth="1"/>
    <col min="99" max="99" width="4.875" bestFit="1" customWidth="1"/>
    <col min="100" max="100" width="7.375" bestFit="1" customWidth="1"/>
  </cols>
  <sheetData>
    <row r="1" spans="1:100" ht="14.25">
      <c r="A1" s="227" t="s">
        <v>172</v>
      </c>
      <c r="B1" s="227"/>
      <c r="C1" s="227"/>
      <c r="D1" s="227"/>
      <c r="E1" s="227"/>
      <c r="F1" s="227"/>
      <c r="G1" s="227" t="str">
        <f>IF(数据源!BH26=0,"","&amp;")</f>
        <v/>
      </c>
      <c r="H1" s="227"/>
      <c r="I1" s="227"/>
      <c r="J1" s="227"/>
      <c r="K1" s="227"/>
      <c r="L1" s="286" t="s">
        <v>133</v>
      </c>
      <c r="M1" s="286"/>
      <c r="N1" s="286"/>
      <c r="O1" s="286"/>
      <c r="P1" s="286"/>
      <c r="Q1" s="227"/>
      <c r="R1" s="287"/>
      <c r="S1" s="28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</row>
    <row r="2" spans="1:100" ht="14.25">
      <c r="A2" s="227" t="s">
        <v>60</v>
      </c>
      <c r="B2" s="227"/>
      <c r="C2" s="227"/>
      <c r="D2" s="227"/>
      <c r="E2" s="227"/>
      <c r="F2" s="227"/>
      <c r="G2" s="227"/>
      <c r="H2" s="227"/>
      <c r="I2" s="227"/>
      <c r="J2" s="227"/>
      <c r="K2" s="228" t="str">
        <f>IF(OR(COUNTIF(数据修正!AJ1:AJ100,"&lt;&gt;")=0,数据源!G7&lt;&gt;"YNDH"),"none",G8)</f>
        <v>none</v>
      </c>
      <c r="L2" s="227" t="s">
        <v>184</v>
      </c>
      <c r="M2" s="227" t="s">
        <v>188</v>
      </c>
      <c r="N2" s="227" t="s">
        <v>187</v>
      </c>
      <c r="O2" s="227" t="s">
        <v>186</v>
      </c>
      <c r="P2" s="227"/>
      <c r="Q2" s="227"/>
      <c r="R2" s="217" t="str">
        <f>IF(K2="none","",R8&amp;J8)</f>
        <v/>
      </c>
      <c r="S2" s="217"/>
      <c r="T2" s="217"/>
      <c r="U2" s="217"/>
      <c r="V2" s="229"/>
      <c r="W2" s="217"/>
      <c r="X2" s="217"/>
      <c r="Y2" s="217"/>
      <c r="Z2" s="217"/>
      <c r="AA2" s="217"/>
      <c r="AB2" s="217"/>
      <c r="AC2" s="217"/>
      <c r="AD2" s="227" t="s">
        <v>185</v>
      </c>
      <c r="AE2" s="227" t="s">
        <v>188</v>
      </c>
      <c r="AF2" s="227" t="s">
        <v>187</v>
      </c>
      <c r="AG2" s="227" t="s">
        <v>186</v>
      </c>
      <c r="AH2" s="217"/>
      <c r="AI2" s="217"/>
      <c r="AJ2" s="217"/>
      <c r="AK2" s="217"/>
      <c r="AL2" s="217"/>
      <c r="AM2" s="217"/>
    </row>
    <row r="3" spans="1:100" s="97" customFormat="1">
      <c r="A3" s="230" t="s">
        <v>192</v>
      </c>
      <c r="B3" s="230" t="s">
        <v>193</v>
      </c>
      <c r="C3" s="230" t="s">
        <v>194</v>
      </c>
      <c r="D3" s="230" t="s">
        <v>195</v>
      </c>
      <c r="E3" s="230"/>
      <c r="F3" s="230" t="s">
        <v>196</v>
      </c>
      <c r="G3" s="230" t="s">
        <v>197</v>
      </c>
      <c r="H3" s="230" t="s">
        <v>198</v>
      </c>
      <c r="I3" s="230" t="s">
        <v>199</v>
      </c>
      <c r="J3" s="230" t="s">
        <v>200</v>
      </c>
      <c r="K3" s="230" t="s">
        <v>201</v>
      </c>
      <c r="L3" s="230" t="s">
        <v>193</v>
      </c>
      <c r="M3" s="230" t="s">
        <v>194</v>
      </c>
      <c r="N3" s="230" t="s">
        <v>195</v>
      </c>
      <c r="O3" s="230"/>
      <c r="P3" s="230" t="s">
        <v>196</v>
      </c>
      <c r="Q3" s="230" t="s">
        <v>197</v>
      </c>
      <c r="R3" s="230" t="s">
        <v>198</v>
      </c>
      <c r="S3" s="230" t="s">
        <v>199</v>
      </c>
      <c r="T3" s="230" t="s">
        <v>200</v>
      </c>
      <c r="U3" s="217"/>
      <c r="V3" s="217"/>
      <c r="W3" s="217"/>
      <c r="X3" s="217"/>
      <c r="Y3" s="217"/>
      <c r="Z3" s="231" t="s">
        <v>192</v>
      </c>
      <c r="AA3" s="231" t="s">
        <v>193</v>
      </c>
      <c r="AB3" s="231" t="s">
        <v>194</v>
      </c>
      <c r="AC3" s="231" t="s">
        <v>195</v>
      </c>
      <c r="AD3" s="231"/>
      <c r="AE3" s="231" t="s">
        <v>196</v>
      </c>
      <c r="AF3" s="231" t="s">
        <v>197</v>
      </c>
      <c r="AG3" s="231" t="s">
        <v>198</v>
      </c>
      <c r="AH3" s="231" t="s">
        <v>199</v>
      </c>
      <c r="AI3" s="231" t="s">
        <v>200</v>
      </c>
      <c r="AJ3" s="231" t="s">
        <v>201</v>
      </c>
      <c r="AK3" s="231" t="s">
        <v>193</v>
      </c>
      <c r="AL3" s="231" t="s">
        <v>194</v>
      </c>
      <c r="AM3" s="231" t="s">
        <v>195</v>
      </c>
      <c r="AN3" s="110"/>
      <c r="AO3" s="110" t="s">
        <v>196</v>
      </c>
      <c r="AP3" s="110" t="s">
        <v>197</v>
      </c>
      <c r="AQ3" s="110" t="s">
        <v>198</v>
      </c>
      <c r="AR3" s="110" t="s">
        <v>199</v>
      </c>
      <c r="AS3" s="110" t="s">
        <v>200</v>
      </c>
      <c r="AW3" s="109" t="s">
        <v>192</v>
      </c>
      <c r="AX3" s="109" t="s">
        <v>202</v>
      </c>
      <c r="AY3" s="109" t="s">
        <v>203</v>
      </c>
      <c r="AZ3" s="109" t="s">
        <v>195</v>
      </c>
      <c r="BA3" s="109"/>
      <c r="BB3" s="109" t="s">
        <v>196</v>
      </c>
      <c r="BC3" s="109" t="s">
        <v>197</v>
      </c>
      <c r="BD3" s="109" t="s">
        <v>204</v>
      </c>
      <c r="BE3" s="109" t="s">
        <v>199</v>
      </c>
      <c r="BF3" s="109" t="s">
        <v>200</v>
      </c>
      <c r="BG3" s="109" t="s">
        <v>205</v>
      </c>
      <c r="BH3" s="109" t="s">
        <v>202</v>
      </c>
      <c r="BI3" s="109" t="s">
        <v>203</v>
      </c>
      <c r="BJ3" s="109" t="s">
        <v>195</v>
      </c>
      <c r="BK3" s="109"/>
      <c r="BL3" s="109" t="s">
        <v>196</v>
      </c>
      <c r="BM3" s="109" t="s">
        <v>197</v>
      </c>
      <c r="BN3" s="109" t="s">
        <v>204</v>
      </c>
      <c r="BO3" s="109" t="s">
        <v>199</v>
      </c>
      <c r="BP3" s="109" t="s">
        <v>200</v>
      </c>
      <c r="BV3" s="111" t="s">
        <v>192</v>
      </c>
      <c r="BW3" s="111" t="s">
        <v>202</v>
      </c>
      <c r="BX3" s="111" t="s">
        <v>203</v>
      </c>
      <c r="BY3" s="111" t="s">
        <v>195</v>
      </c>
      <c r="BZ3" s="111"/>
      <c r="CA3" s="111" t="s">
        <v>196</v>
      </c>
      <c r="CB3" s="111" t="s">
        <v>197</v>
      </c>
      <c r="CC3" s="111" t="s">
        <v>204</v>
      </c>
      <c r="CD3" s="111" t="s">
        <v>199</v>
      </c>
      <c r="CE3" s="111" t="s">
        <v>200</v>
      </c>
      <c r="CF3" s="111" t="s">
        <v>205</v>
      </c>
      <c r="CG3" s="111" t="s">
        <v>202</v>
      </c>
      <c r="CH3" s="111" t="s">
        <v>203</v>
      </c>
      <c r="CI3" s="111" t="s">
        <v>195</v>
      </c>
      <c r="CJ3" s="111"/>
      <c r="CK3" s="111" t="s">
        <v>196</v>
      </c>
      <c r="CL3" s="111" t="s">
        <v>197</v>
      </c>
      <c r="CM3" s="111" t="s">
        <v>204</v>
      </c>
      <c r="CN3" s="111" t="s">
        <v>199</v>
      </c>
      <c r="CO3" s="111" t="s">
        <v>200</v>
      </c>
      <c r="CP3" s="109" t="s">
        <v>202</v>
      </c>
      <c r="CQ3" s="109"/>
      <c r="CR3" s="109" t="s">
        <v>203</v>
      </c>
      <c r="CS3" s="109" t="s">
        <v>196</v>
      </c>
      <c r="CT3" s="109"/>
      <c r="CU3" s="109" t="s">
        <v>197</v>
      </c>
      <c r="CV3" s="109" t="s">
        <v>206</v>
      </c>
    </row>
    <row r="4" spans="1:100" ht="14.25">
      <c r="A4" s="227" t="s">
        <v>61</v>
      </c>
      <c r="B4" s="227" t="s">
        <v>62</v>
      </c>
      <c r="C4" s="227" t="s">
        <v>63</v>
      </c>
      <c r="D4" s="227" t="s">
        <v>64</v>
      </c>
      <c r="E4" s="227" t="s">
        <v>65</v>
      </c>
      <c r="F4" s="227" t="s">
        <v>66</v>
      </c>
      <c r="G4" s="227" t="s">
        <v>67</v>
      </c>
      <c r="H4" s="227" t="s">
        <v>68</v>
      </c>
      <c r="I4" s="227"/>
      <c r="J4" s="227" t="s">
        <v>69</v>
      </c>
      <c r="K4" s="227" t="s">
        <v>70</v>
      </c>
      <c r="L4" s="227"/>
      <c r="M4" s="227"/>
      <c r="N4" s="227"/>
      <c r="O4" s="227"/>
      <c r="P4" s="227" t="s">
        <v>71</v>
      </c>
      <c r="Q4" s="227" t="s">
        <v>72</v>
      </c>
      <c r="R4" s="217"/>
      <c r="S4" s="217"/>
      <c r="T4" s="227" t="s">
        <v>61</v>
      </c>
      <c r="U4" s="227" t="s">
        <v>62</v>
      </c>
      <c r="V4" s="227" t="s">
        <v>63</v>
      </c>
      <c r="W4" s="227" t="s">
        <v>64</v>
      </c>
      <c r="X4" s="227" t="s">
        <v>65</v>
      </c>
      <c r="Y4" s="227" t="s">
        <v>66</v>
      </c>
      <c r="Z4" s="227" t="s">
        <v>67</v>
      </c>
      <c r="AA4" s="227" t="s">
        <v>68</v>
      </c>
      <c r="AB4" s="227" t="s">
        <v>69</v>
      </c>
      <c r="AC4" s="227" t="s">
        <v>70</v>
      </c>
      <c r="AD4" s="227"/>
      <c r="AE4" s="227"/>
      <c r="AF4" s="227"/>
      <c r="AG4" s="227"/>
      <c r="AH4" s="227" t="s">
        <v>71</v>
      </c>
      <c r="AI4" s="227" t="s">
        <v>72</v>
      </c>
      <c r="AJ4" s="217"/>
      <c r="AK4" s="217"/>
      <c r="AL4" s="217"/>
      <c r="AM4" s="217"/>
    </row>
    <row r="5" spans="1:100" ht="57">
      <c r="A5" s="218" t="s">
        <v>73</v>
      </c>
      <c r="B5" s="218" t="s">
        <v>256</v>
      </c>
      <c r="C5" s="218" t="s">
        <v>74</v>
      </c>
      <c r="D5" s="232" t="s">
        <v>166</v>
      </c>
      <c r="E5" s="218"/>
      <c r="F5" s="227"/>
      <c r="G5" s="226" t="str">
        <f>IF(数据源!BH26=0,"",数据源!AY26)&amp;IF(数据源!BH27=0,"","&amp;"&amp;数据源!AY27)&amp;IF(数据源!BH28=0,"","&amp;"&amp;数据源!AY28)&amp;IF(数据源!BH29=0,"","&amp;"&amp;数据源!AY29)&amp;IF(数据源!BH30=0,"","&amp;"&amp;数据源!AY30)&amp;IF(数据源!BH31=0,"","&amp;"&amp;数据源!AY31)</f>
        <v/>
      </c>
      <c r="H5" s="226" t="str">
        <f>数据源!BH26&amp;IF(数据源!BH26=0,"",数据源!BD26)&amp;IF(数据源!BH27=0,"","&amp;"&amp;数据源!BH27&amp;数据源!BD27)&amp;IF(数据源!BH28=0,"","&amp;"&amp;数据源!BH28&amp;数据源!BD28)&amp;IF(数据源!BH29=0,"","&amp;"&amp;数据源!BH29&amp;数据源!BD29)&amp;IF(数据源!BH30=0,"","&amp;"&amp;数据源!BH30&amp;数据源!BD30)&amp;IF(数据源!BH31=0,"","&amp;"&amp;数据源!BH31&amp;数据源!BD31)</f>
        <v>0</v>
      </c>
      <c r="I5" s="218"/>
      <c r="J5" s="232" t="str">
        <f>B5&amp;G5&amp;C5&amp;H5&amp;D5&amp;"
"</f>
        <v xml:space="preserve"> 用于本批次产品胶囊壳的明胶（物料批次号为）铬检测结果为0，符合GB 6783-2013《食品添加剂 明胶》的规定。  
</v>
      </c>
      <c r="K5" s="226" t="str">
        <f>IF(LEN(G5)=0,"none",G5)</f>
        <v>none</v>
      </c>
      <c r="L5" s="226">
        <f>COUNTIF(K5,"none")</f>
        <v>1</v>
      </c>
      <c r="M5" s="226" t="str">
        <f>INDEX(L2:O2,1-L5)</f>
        <v xml:space="preserve">③ </v>
      </c>
      <c r="N5" s="217"/>
      <c r="O5" s="226" t="str">
        <f>IF(K5="none","",M5&amp;J5)</f>
        <v/>
      </c>
      <c r="P5" s="218">
        <f>2+4-COUNTIF(K5:K8,"none")</f>
        <v>2</v>
      </c>
      <c r="Q5" s="233" t="s">
        <v>227</v>
      </c>
      <c r="R5" s="217"/>
      <c r="S5" s="217"/>
      <c r="T5" s="218" t="s">
        <v>173</v>
      </c>
      <c r="U5" s="218" t="s">
        <v>174</v>
      </c>
      <c r="V5" s="218"/>
      <c r="W5" s="232"/>
      <c r="X5" s="218"/>
      <c r="Y5" s="227"/>
      <c r="Z5" s="226">
        <f>COUNTIF(数据修正!BY1:BY86,"ND")+COUNTIF(数据修正!CI1:CI95,"ND")</f>
        <v>0</v>
      </c>
      <c r="AA5" s="218"/>
      <c r="AB5" s="234" t="str">
        <f>U5</f>
        <v>ND= Not detected</v>
      </c>
      <c r="AC5" s="226" t="str">
        <f>IF(Z5=0,"none",Z5)</f>
        <v>none</v>
      </c>
      <c r="AD5" s="226">
        <f>COUNTIF(AC5,"none")</f>
        <v>1</v>
      </c>
      <c r="AE5" s="226" t="str">
        <f>INDEX(AD2:AF2,1-AD5)</f>
        <v xml:space="preserve">③ </v>
      </c>
      <c r="AF5" s="217"/>
      <c r="AG5" s="218" t="str">
        <f>IF(AC5="none","",AE5&amp;AB5)</f>
        <v/>
      </c>
      <c r="AH5" s="218">
        <f>1+4-COUNTIF(AC5:AC8,"none")</f>
        <v>2</v>
      </c>
      <c r="AI5" s="232" t="s">
        <v>233</v>
      </c>
      <c r="AJ5" s="217"/>
      <c r="AK5" s="217"/>
      <c r="AL5" s="217"/>
      <c r="AM5" s="217"/>
    </row>
    <row r="6" spans="1:100" ht="42.75">
      <c r="A6" s="218" t="s">
        <v>75</v>
      </c>
      <c r="B6" s="232" t="s">
        <v>232</v>
      </c>
      <c r="C6" s="218"/>
      <c r="D6" s="218"/>
      <c r="E6" s="218"/>
      <c r="F6" s="218"/>
      <c r="G6" s="107" t="str">
        <f>IFERROR(K12,"")&amp;IFERROR(K13,"")&amp;IFERROR(K14,"")&amp;IFERROR(K15,"")&amp;IFERROR(K16,"")&amp;IFERROR(K17,"")&amp;IFERROR(K18,"")&amp;IFERROR(K19,"")&amp;IFERROR(K20,"")&amp;IFERROR(K21,"")&amp;IFERROR(K22,"")&amp;IFERROR(K23,"")&amp;IFERROR(K24,"")&amp;IFERROR(K25,"")&amp;IFERROR(K26,"")&amp;IFERROR(K27,"")&amp;IFERROR(K28,"")&amp;IFERROR(K29,"")&amp;IFERROR(K30,"")&amp;IFERROR(K31,"")&amp;IFERROR(K32,"")&amp;IFERROR(K33,"")&amp;IFERROR(K34,"")&amp;IFERROR(K35,"")&amp;IFERROR(K36,"")&amp;IFERROR(K37,"")&amp;IFERROR(K38,"")&amp;IFERROR(K39,"")&amp;IFERROR(K40,"")&amp;IFERROR(K41,"")&amp;IFERROR(K42,"")&amp;IFERROR(K43,"")&amp;IFERROR(K44,"")&amp;IFERROR(K45,"")&amp;IFERROR(K46,"")&amp;IFERROR(K47,"")&amp;IFERROR(K48,"")&amp;IFERROR(K49,"")&amp;IFERROR(K50,"")&amp;IFERROR(K51,"")&amp;IFERROR(K52,"")&amp;IFERROR(K53,"")&amp;IFERROR(K54,"")&amp;IFERROR(K55,"")&amp;IFERROR(K56,"")&amp;IFERROR(K57,"")&amp;IFERROR(K58,"")&amp;IFERROR(K59,"")&amp;IFERROR(K60,"")&amp;IFERROR(L12,"")&amp;IFERROR(L13,"")&amp;IFERROR(L14,"")&amp;IFERROR(L15,"")&amp;IFERROR(L16,"")&amp;IFERROR(L17,"")&amp;IFERROR(L18,"")&amp;IFERROR(L19,"")&amp;IFERROR(L20,"")&amp;IFERROR(L21,"")&amp;IFERROR(L22,"")&amp;IFERROR(L23,"")&amp;IFERROR(L24,"")&amp;IFERROR(L25,"")&amp;IFERROR(L26,"")&amp;IFERROR(L27,"")&amp;IFERROR(L28,"")&amp;IFERROR(L29,"")&amp;IFERROR(L30,"")&amp;IFERROR(L31,"")&amp;IFERROR(L32,"")&amp;IFERROR(L33,"")&amp;IFERROR(L34,"")&amp;IFERROR(L35,"")&amp;IFERROR(L36,"")&amp;IFERROR(L37,"")&amp;IFERROR(L38,"")&amp;IFERROR(L39,"")&amp;IFERROR(L40,"")&amp;IFERROR(L41,"")&amp;IFERROR(L42,"")&amp;IFERROR(L43,"")&amp;IFERROR(L44,"")&amp;IFERROR(L45,"")&amp;IFERROR(L46,"")&amp;IFERROR(L47,"")&amp;IFERROR(L48,"")&amp;IFERROR(L49,"")&amp;IFERROR(L50,"")&amp;IFERROR(L51,"")&amp;IFERROR(L52,"")&amp;IFERROR(L53,"")&amp;IFERROR(L54,"")&amp;IFERROR(L55,"")&amp;IFERROR(L56,"")&amp;IFERROR(L57,"")&amp;IFERROR(L58,"")&amp;IFERROR(L59,"")&amp;IFERROR(L60,"")</f>
        <v/>
      </c>
      <c r="H6" s="235"/>
      <c r="I6" s="218"/>
      <c r="J6" s="232" t="str">
        <f>B6&amp;"
"</f>
        <v xml:space="preserve">溶血性链球菌采用GB 4789.11-2014检测 β型溶血性链球菌。
</v>
      </c>
      <c r="K6" s="226" t="str">
        <f>IF(LEN(G6)=0,"none",G6)</f>
        <v>none</v>
      </c>
      <c r="L6" s="226">
        <f>COUNTIF(K5:K6,"none")</f>
        <v>2</v>
      </c>
      <c r="M6" s="226" t="str">
        <f>INDEX(L2:O2,2-L6)</f>
        <v xml:space="preserve">③ </v>
      </c>
      <c r="N6" s="218"/>
      <c r="O6" s="226" t="str">
        <f>IF(K6="none","",M6&amp;J6)</f>
        <v/>
      </c>
      <c r="P6" s="218"/>
      <c r="Q6" s="232"/>
      <c r="R6" s="230" t="e">
        <f>INDEX(L2:O2,1-L6+L5)</f>
        <v>#VALUE!</v>
      </c>
      <c r="S6" s="217" t="str">
        <f>IF(K6="none","",R6&amp;J6)</f>
        <v/>
      </c>
      <c r="T6" s="218" t="s">
        <v>175</v>
      </c>
      <c r="U6" s="232" t="s">
        <v>176</v>
      </c>
      <c r="V6" s="218"/>
      <c r="W6" s="218"/>
      <c r="X6" s="218"/>
      <c r="Y6" s="218"/>
      <c r="Z6" s="226">
        <f>COUNTIF(数据修正!CZ1:CZ100,"&lt;&gt;")</f>
        <v>12</v>
      </c>
      <c r="AA6" s="218"/>
      <c r="AB6" s="234" t="str">
        <f>U6</f>
        <v>The other items above are not tested but qualified according to Sirio's Standard Management Procedure.</v>
      </c>
      <c r="AC6" s="226">
        <f>IF(Z6=0,"none",Z6)</f>
        <v>12</v>
      </c>
      <c r="AD6" s="226">
        <f>COUNTIF(AC5:AC6,"none")</f>
        <v>1</v>
      </c>
      <c r="AE6" s="226" t="str">
        <f>INDEX(AD2:AF2,2-AD6)</f>
        <v>②</v>
      </c>
      <c r="AF6" s="218"/>
      <c r="AG6" s="218" t="str">
        <f>IF(AC6="none","",AE6&amp;AB6)</f>
        <v>②The other items above are not tested but qualified according to Sirio's Standard Management Procedure.</v>
      </c>
      <c r="AH6" s="218"/>
      <c r="AI6" s="232"/>
      <c r="AJ6" s="217"/>
      <c r="AK6" s="217"/>
      <c r="AL6" s="217"/>
      <c r="AM6" s="217"/>
    </row>
    <row r="7" spans="1:100" ht="42.75">
      <c r="A7" s="218" t="s">
        <v>76</v>
      </c>
      <c r="B7" s="232" t="s">
        <v>231</v>
      </c>
      <c r="C7" s="232"/>
      <c r="D7" s="218"/>
      <c r="E7" s="218"/>
      <c r="F7" s="218"/>
      <c r="G7" s="226">
        <f>COUNTIF(数据修正!Z1:Z86,"#")+COUNTIF(数据修正!AJ1:AJ95,"#*")</f>
        <v>0</v>
      </c>
      <c r="H7" s="218"/>
      <c r="I7" s="218"/>
      <c r="J7" s="232" t="str">
        <f>B7&amp;"
"</f>
        <v xml:space="preserve">带“#”的检测项目由本检验中心认可的第三方检测机构检测。
</v>
      </c>
      <c r="K7" s="226" t="str">
        <f>IF(G7=0,"none",G7)</f>
        <v>none</v>
      </c>
      <c r="L7" s="226">
        <f>COUNTIF(K5:K7,"none")</f>
        <v>3</v>
      </c>
      <c r="M7" s="226" t="str">
        <f>INDEX(L2:O2,3-L7)</f>
        <v xml:space="preserve">③ </v>
      </c>
      <c r="N7" s="218"/>
      <c r="O7" s="234" t="str">
        <f>IF(K7="none","",M7&amp;J7)</f>
        <v/>
      </c>
      <c r="P7" s="218"/>
      <c r="Q7" s="232"/>
      <c r="R7" s="230" t="e">
        <f>INDEX(L2:N2,2-L7+L5)</f>
        <v>#VALUE!</v>
      </c>
      <c r="S7" s="217" t="str">
        <f>IF(K7="none","",R7&amp;J7)</f>
        <v/>
      </c>
      <c r="T7" s="218" t="s">
        <v>190</v>
      </c>
      <c r="U7" s="232" t="s">
        <v>189</v>
      </c>
      <c r="V7" s="232"/>
      <c r="W7" s="218"/>
      <c r="X7" s="218"/>
      <c r="Y7" s="218"/>
      <c r="Z7" s="226">
        <f>COUNTIF(数据修正!Z1:Z86,"#")+COUNTIF(数据修正!AJ1:AJ95,"#*")</f>
        <v>0</v>
      </c>
      <c r="AA7" s="218"/>
      <c r="AB7" s="234" t="str">
        <f>U7</f>
        <v xml:space="preserve">The items with "#" were tested by the third party testing organization which approved by our testing Centre ;							</v>
      </c>
      <c r="AC7" s="226" t="str">
        <f>IF(G7=0,"none",G7)</f>
        <v>none</v>
      </c>
      <c r="AD7" s="226">
        <f>COUNTIF(AC5:AC7,"none")</f>
        <v>2</v>
      </c>
      <c r="AE7" s="226" t="str">
        <f>INDEX(AD2:AF2,3-AD7)</f>
        <v>②</v>
      </c>
      <c r="AF7" s="218"/>
      <c r="AG7" s="232" t="str">
        <f>IF(AC7="none","",AE6&amp;AB7)</f>
        <v/>
      </c>
      <c r="AH7" s="218"/>
      <c r="AI7" s="232"/>
      <c r="AJ7" s="217"/>
      <c r="AK7" s="217"/>
      <c r="AL7" s="217"/>
      <c r="AM7" s="217"/>
    </row>
    <row r="8" spans="1:100" ht="57">
      <c r="A8" s="218" t="s">
        <v>77</v>
      </c>
      <c r="B8" s="232" t="s">
        <v>78</v>
      </c>
      <c r="C8" s="232" t="s">
        <v>79</v>
      </c>
      <c r="D8" s="232" t="s">
        <v>80</v>
      </c>
      <c r="E8" s="218"/>
      <c r="F8" s="218"/>
      <c r="G8" s="226">
        <f>数据源!O10</f>
        <v>0</v>
      </c>
      <c r="H8" s="226">
        <f>数据源!O12</f>
        <v>0</v>
      </c>
      <c r="I8" s="218"/>
      <c r="J8" s="232" t="str">
        <f>B8&amp;G8&amp;C8&amp;H8&amp;D8&amp;"
"</f>
        <v xml:space="preserve">带“＊”的检测项目数据来源于工艺批次： 0（样品编号：0) 的检测结果。
</v>
      </c>
      <c r="K8" s="226" t="str">
        <f>IF(COUNTIF(数据修正!AJ1:AJ96,"&lt;&gt;")=0,"none",G8)</f>
        <v>none</v>
      </c>
      <c r="L8" s="226">
        <f>COUNTIF(K5:K8,"none")</f>
        <v>4</v>
      </c>
      <c r="M8" s="226" t="str">
        <f>INDEX(L2:O2,4-L8)</f>
        <v xml:space="preserve">③ </v>
      </c>
      <c r="N8" s="227"/>
      <c r="O8" s="234" t="str">
        <f>IF(K8="none","",M8&amp;J8)</f>
        <v/>
      </c>
      <c r="P8" s="218"/>
      <c r="Q8" s="232"/>
      <c r="R8" s="230" t="e">
        <f>INDEX(L2:N2,3-L8+L5)</f>
        <v>#VALUE!</v>
      </c>
      <c r="S8" s="217" t="str">
        <f>IF(K8="none","",R8&amp;J8)</f>
        <v/>
      </c>
      <c r="T8" s="218" t="s">
        <v>191</v>
      </c>
      <c r="U8" s="232" t="s">
        <v>208</v>
      </c>
      <c r="V8" s="232"/>
      <c r="W8" s="232"/>
      <c r="X8" s="218"/>
      <c r="Y8" s="218"/>
      <c r="Z8" s="226">
        <f>AA15</f>
        <v>0</v>
      </c>
      <c r="AA8" s="218"/>
      <c r="AB8" s="234" t="str">
        <f>U8</f>
        <v xml:space="preserve">The test method of GB 5009.27-2016 meets the method validation requirement of  COMMISSION REGULATION (EC) No 333/2007.  </v>
      </c>
      <c r="AC8" s="226" t="str">
        <f>IF(Z8=0,"none",G8)</f>
        <v>none</v>
      </c>
      <c r="AD8" s="234">
        <f>COUNTIF(AC5:AC8,"none")</f>
        <v>3</v>
      </c>
      <c r="AE8" s="234" t="str">
        <f>INDEX(AD2:AF2,4-AD8)</f>
        <v>②</v>
      </c>
      <c r="AF8" s="227"/>
      <c r="AG8" s="232" t="str">
        <f>IF(AC8="none","",AE8&amp;AB8)</f>
        <v/>
      </c>
      <c r="AH8" s="218"/>
      <c r="AI8" s="232"/>
      <c r="AJ8" s="217"/>
      <c r="AK8" s="217"/>
      <c r="AL8" s="217"/>
      <c r="AM8" s="217"/>
    </row>
    <row r="9" spans="1:100" ht="14.25">
      <c r="A9" s="3"/>
      <c r="B9" s="5"/>
      <c r="C9" s="3"/>
      <c r="D9" s="3"/>
      <c r="E9" s="3"/>
      <c r="F9" s="3"/>
      <c r="G9" s="3"/>
      <c r="H9" s="3"/>
      <c r="I9" s="3"/>
      <c r="J9" s="5"/>
      <c r="K9" s="3"/>
      <c r="L9" s="3"/>
      <c r="M9" s="3"/>
      <c r="N9" s="3"/>
      <c r="O9" s="5"/>
      <c r="P9" s="3"/>
      <c r="Q9" s="3"/>
    </row>
    <row r="10" spans="1:100" ht="14.25">
      <c r="A10" s="3"/>
      <c r="B10" s="5"/>
      <c r="C10" s="5"/>
      <c r="D10" s="5"/>
      <c r="E10" s="3"/>
      <c r="F10" s="3"/>
      <c r="G10" s="4"/>
      <c r="H10" s="4"/>
      <c r="I10" s="4"/>
      <c r="J10" s="5"/>
      <c r="K10" s="3"/>
      <c r="L10" s="3"/>
      <c r="M10" s="3"/>
      <c r="N10" s="3"/>
      <c r="O10" s="5"/>
      <c r="P10" s="3"/>
      <c r="Q10" s="3"/>
    </row>
    <row r="11" spans="1:100" ht="14.25">
      <c r="A11" s="3"/>
      <c r="B11" s="3"/>
      <c r="C11" s="3"/>
      <c r="D11" s="3"/>
      <c r="E11" s="3"/>
      <c r="F11" s="3"/>
      <c r="G11" s="3"/>
      <c r="H11" s="6"/>
      <c r="I11" s="6"/>
      <c r="J11" s="3" t="s">
        <v>81</v>
      </c>
      <c r="K11" s="3"/>
      <c r="L11" s="3"/>
      <c r="M11" s="3"/>
      <c r="N11" s="3"/>
      <c r="O11" s="3"/>
      <c r="P11" s="3"/>
      <c r="Q11" s="3"/>
    </row>
    <row r="12" spans="1:100" ht="14.25">
      <c r="A12" s="3"/>
      <c r="B12" s="3"/>
      <c r="C12" s="3"/>
      <c r="D12" s="3"/>
      <c r="E12" s="3"/>
      <c r="F12" s="3"/>
      <c r="G12" s="3"/>
      <c r="H12" s="6"/>
      <c r="I12" s="6"/>
      <c r="J12" s="236" t="s">
        <v>236</v>
      </c>
      <c r="K12" s="107" t="e">
        <f>VLOOKUP(J12,数据源!$A$26:$S$126,8,FALSE)</f>
        <v>#N/A</v>
      </c>
      <c r="L12" s="107" t="e">
        <f>VLOOKUP(J12,数据源!$T$26:$AL$126,8,FALSE)</f>
        <v>#N/A</v>
      </c>
      <c r="M12" s="3"/>
      <c r="N12" s="3"/>
      <c r="O12" s="3"/>
      <c r="P12" s="3"/>
      <c r="Q12" s="3"/>
    </row>
    <row r="13" spans="1:100" ht="14.25">
      <c r="A13" s="3"/>
      <c r="B13" s="3"/>
      <c r="C13" s="3"/>
      <c r="D13" s="3"/>
      <c r="E13" s="3"/>
      <c r="F13" s="3"/>
      <c r="G13" s="3"/>
      <c r="H13" s="3"/>
      <c r="I13" s="3"/>
      <c r="J13" s="236" t="s">
        <v>237</v>
      </c>
      <c r="K13" s="107" t="e">
        <f>VLOOKUP(J13,数据源!$A$26:$S$126,8,FALSE)</f>
        <v>#N/A</v>
      </c>
      <c r="L13" s="107" t="e">
        <f>VLOOKUP(J13,数据源!$T$26:$AL$126,8,FALSE)</f>
        <v>#N/A</v>
      </c>
      <c r="M13" s="3"/>
      <c r="N13" s="3"/>
      <c r="O13" s="3"/>
      <c r="P13" s="3"/>
      <c r="Q13" s="3"/>
      <c r="AS13" s="97"/>
    </row>
    <row r="14" spans="1:100" ht="14.25">
      <c r="A14" s="3"/>
      <c r="B14" s="3"/>
      <c r="C14" s="3"/>
      <c r="D14" s="3"/>
      <c r="E14" s="3"/>
      <c r="F14" s="3"/>
      <c r="G14" s="3"/>
      <c r="H14" s="3"/>
      <c r="I14" s="3"/>
      <c r="J14" s="236" t="s">
        <v>238</v>
      </c>
      <c r="K14" s="107" t="e">
        <f>VLOOKUP(J14,数据源!$A$26:$S$126,8,FALSE)</f>
        <v>#N/A</v>
      </c>
      <c r="L14" s="107" t="e">
        <f>VLOOKUP(J14,数据源!$T$26:$AL$126,8,FALSE)</f>
        <v>#N/A</v>
      </c>
      <c r="M14" s="3"/>
      <c r="N14" s="3"/>
      <c r="O14" s="3"/>
      <c r="P14" s="3"/>
      <c r="Q14" s="3"/>
      <c r="AA14" s="97"/>
      <c r="AB14" s="97"/>
      <c r="AC14" s="97"/>
      <c r="AD14" s="97"/>
      <c r="AE14" s="97"/>
      <c r="AF14" s="97"/>
      <c r="AG14" s="97"/>
      <c r="AS14" s="97"/>
      <c r="AT14" s="97"/>
    </row>
    <row r="15" spans="1:100" ht="14.25">
      <c r="A15" s="6"/>
      <c r="B15" s="6"/>
      <c r="C15" s="6"/>
      <c r="D15" s="6"/>
      <c r="E15" s="6"/>
      <c r="F15" s="6"/>
      <c r="G15" s="6"/>
      <c r="H15" s="6"/>
      <c r="I15" s="6"/>
      <c r="J15" s="236" t="s">
        <v>239</v>
      </c>
      <c r="K15" s="107" t="e">
        <f>VLOOKUP(J15,数据源!$A$26:$S$126,8,FALSE)</f>
        <v>#N/A</v>
      </c>
      <c r="L15" s="107" t="e">
        <f>VLOOKUP(J15,数据源!$T$26:$AL$126,8,FALSE)</f>
        <v>#N/A</v>
      </c>
      <c r="M15" s="6"/>
      <c r="N15" s="6"/>
      <c r="O15" s="6"/>
      <c r="P15" s="6"/>
      <c r="Q15" s="6"/>
      <c r="Z15" s="3" t="s">
        <v>207</v>
      </c>
      <c r="AA15" s="3">
        <f>COUNTIF(AC16:AC20,"有")+COUNTIF(AE16:AE20,"有")</f>
        <v>0</v>
      </c>
      <c r="AR15" s="3"/>
      <c r="AS15" s="3"/>
      <c r="AT15" s="3"/>
    </row>
    <row r="16" spans="1:100" ht="14.25">
      <c r="A16" s="6"/>
      <c r="B16" s="6"/>
      <c r="C16" s="6"/>
      <c r="D16" s="6"/>
      <c r="E16" s="6"/>
      <c r="F16" s="6"/>
      <c r="G16" s="6"/>
      <c r="H16" s="6"/>
      <c r="I16" s="6"/>
      <c r="J16" s="236" t="s">
        <v>240</v>
      </c>
      <c r="K16" s="107" t="e">
        <f>VLOOKUP(J16,数据源!$A$26:$S$126,8,FALSE)</f>
        <v>#N/A</v>
      </c>
      <c r="L16" s="107" t="e">
        <f>VLOOKUP(J16,数据源!$T$26:$AL$126,8,FALSE)</f>
        <v>#N/A</v>
      </c>
      <c r="M16" s="6"/>
      <c r="N16" s="6"/>
      <c r="O16" s="6"/>
      <c r="P16" s="6"/>
      <c r="Q16" s="6"/>
      <c r="Z16" s="108"/>
      <c r="AA16" s="107" t="e">
        <f>VLOOKUP(J12,数据源!$A$26:$S$126,8,FALSE)</f>
        <v>#N/A</v>
      </c>
      <c r="AB16" s="107" t="e">
        <f>VLOOKUP(J12,数据源!$A$26:$S$126,10,FALSE)</f>
        <v>#N/A</v>
      </c>
      <c r="AC16" t="e">
        <f>IF(AND(ISNUMBER(SEARCH("Inner Method",AA16)),AB16=""),"有","无")</f>
        <v>#N/A</v>
      </c>
      <c r="AD16" s="109" t="e">
        <f>VLOOKUP(J12,数据源!$T$26:$AL$126,8,FALSE)</f>
        <v>#N/A</v>
      </c>
      <c r="AE16" s="97" t="str">
        <f>IF(ISNUMBER(SEARCH("Inner Method",AD16)),"有","无")</f>
        <v>无</v>
      </c>
      <c r="AR16" s="3"/>
      <c r="AS16" s="3"/>
      <c r="AT16" s="3"/>
    </row>
    <row r="17" spans="1:46" ht="14.25">
      <c r="A17" s="6"/>
      <c r="B17" s="6"/>
      <c r="C17" s="6"/>
      <c r="D17" s="6"/>
      <c r="E17" s="6"/>
      <c r="F17" s="6"/>
      <c r="G17" s="6"/>
      <c r="H17" s="6"/>
      <c r="I17" s="6"/>
      <c r="J17" s="236" t="s">
        <v>241</v>
      </c>
      <c r="K17" s="107" t="e">
        <f>VLOOKUP(J17,数据源!$A$26:$S$126,8,FALSE)</f>
        <v>#N/A</v>
      </c>
      <c r="L17" s="107" t="e">
        <f>VLOOKUP(J17,数据源!$T$26:$AL$126,8,FALSE)</f>
        <v>#N/A</v>
      </c>
      <c r="M17" s="6"/>
      <c r="N17" s="6"/>
      <c r="O17" s="6"/>
      <c r="P17" s="6"/>
      <c r="Q17" s="6"/>
      <c r="Z17" s="108"/>
      <c r="AA17" s="107" t="e">
        <f>VLOOKUP(J13,数据源!$A$26:$S$126,8,FALSE)</f>
        <v>#N/A</v>
      </c>
      <c r="AB17" s="107" t="e">
        <f>VLOOKUP(J13,数据源!$A$26:$S$126,10,FALSE)</f>
        <v>#N/A</v>
      </c>
      <c r="AC17" s="97" t="str">
        <f>IF(ISNUMBER(SEARCH("Inner Method",AA17)),"有","无")</f>
        <v>无</v>
      </c>
      <c r="AD17" s="109" t="e">
        <f>VLOOKUP(J13,数据源!$T$26:$AL$126,8,FALSE)</f>
        <v>#N/A</v>
      </c>
      <c r="AE17" s="97" t="str">
        <f t="shared" ref="AE17:AE20" si="0">IF(ISNUMBER(SEARCH("Inner Method",AD17)),"有","无")</f>
        <v>无</v>
      </c>
      <c r="AR17" s="3"/>
      <c r="AS17" s="3"/>
      <c r="AT17" s="3"/>
    </row>
    <row r="18" spans="1:46" ht="14.25">
      <c r="A18" s="6"/>
      <c r="B18" s="6"/>
      <c r="C18" s="6"/>
      <c r="D18" s="6"/>
      <c r="E18" s="6"/>
      <c r="F18" s="6"/>
      <c r="G18" s="6"/>
      <c r="H18" s="6"/>
      <c r="I18" s="6"/>
      <c r="J18" s="236" t="s">
        <v>242</v>
      </c>
      <c r="K18" s="107" t="e">
        <f>VLOOKUP(J18,数据源!$A$26:$S$126,8,FALSE)</f>
        <v>#N/A</v>
      </c>
      <c r="L18" s="107" t="e">
        <f>VLOOKUP(J18,数据源!$T$26:$AL$126,8,FALSE)</f>
        <v>#N/A</v>
      </c>
      <c r="M18" s="6"/>
      <c r="N18" s="6"/>
      <c r="O18" s="6"/>
      <c r="P18" s="6"/>
      <c r="Q18" s="6"/>
      <c r="Z18" s="108"/>
      <c r="AA18" s="107" t="e">
        <f>VLOOKUP(J14,数据源!$A$26:$S$126,8,FALSE)</f>
        <v>#N/A</v>
      </c>
      <c r="AB18" s="107" t="e">
        <f>VLOOKUP(J14,数据源!$A$26:$S$126,10,FALSE)</f>
        <v>#N/A</v>
      </c>
      <c r="AC18" s="97" t="str">
        <f>IF(ISNUMBER(SEARCH("Inner Method",AA18)),"有","无")</f>
        <v>无</v>
      </c>
      <c r="AD18" s="109" t="e">
        <f>VLOOKUP(J14,数据源!$T$26:$AL$126,8,FALSE)</f>
        <v>#N/A</v>
      </c>
      <c r="AE18" s="97" t="str">
        <f t="shared" si="0"/>
        <v>无</v>
      </c>
      <c r="AR18" s="3"/>
    </row>
    <row r="19" spans="1:46" ht="14.25">
      <c r="A19" s="6"/>
      <c r="B19" s="6"/>
      <c r="C19" s="6"/>
      <c r="D19" s="6"/>
      <c r="E19" s="6"/>
      <c r="F19" s="6"/>
      <c r="G19" s="6"/>
      <c r="H19" s="6"/>
      <c r="I19" s="6"/>
      <c r="J19" s="236" t="s">
        <v>243</v>
      </c>
      <c r="K19" s="107" t="e">
        <f>VLOOKUP(J19,数据源!$A$26:$S$126,8,FALSE)</f>
        <v>#N/A</v>
      </c>
      <c r="L19" s="107" t="e">
        <f>VLOOKUP(J19,数据源!$T$26:$AL$126,8,FALSE)</f>
        <v>#N/A</v>
      </c>
      <c r="M19" s="6"/>
      <c r="N19" s="6"/>
      <c r="O19" s="6"/>
      <c r="P19" s="6"/>
      <c r="Q19" s="6"/>
      <c r="Z19" s="108"/>
      <c r="AA19" s="107" t="e">
        <f>VLOOKUP(J15,数据源!$A$26:$S$126,8,FALSE)</f>
        <v>#N/A</v>
      </c>
      <c r="AB19" s="107" t="e">
        <f>VLOOKUP(J15,数据源!$A$26:$S$126,10,FALSE)</f>
        <v>#N/A</v>
      </c>
      <c r="AC19" s="97" t="str">
        <f>IF(ISNUMBER(SEARCH("Inner Method",AA19)),"有","无")</f>
        <v>无</v>
      </c>
      <c r="AD19" s="109" t="e">
        <f>VLOOKUP(J15,数据源!$T$26:$AL$126,8,FALSE)</f>
        <v>#N/A</v>
      </c>
      <c r="AE19" s="97" t="str">
        <f t="shared" si="0"/>
        <v>无</v>
      </c>
    </row>
    <row r="20" spans="1:46" ht="14.25">
      <c r="J20" s="236" t="s">
        <v>244</v>
      </c>
      <c r="K20" s="107" t="e">
        <f>VLOOKUP(J20,数据源!$A$26:$S$126,8,FALSE)</f>
        <v>#N/A</v>
      </c>
      <c r="L20" s="107" t="e">
        <f>VLOOKUP(J20,数据源!$T$26:$AL$126,8,FALSE)</f>
        <v>#N/A</v>
      </c>
      <c r="Z20" s="108"/>
      <c r="AA20" s="107" t="e">
        <f>VLOOKUP(J16,数据源!$A$26:$S$126,8,FALSE)</f>
        <v>#N/A</v>
      </c>
      <c r="AB20" s="107" t="e">
        <f>VLOOKUP(J16,数据源!$A$26:$S$126,10,FALSE)</f>
        <v>#N/A</v>
      </c>
      <c r="AC20" s="97" t="str">
        <f>IF(ISNUMBER(SEARCH("Inner Method",AA20)),"有","无")</f>
        <v>无</v>
      </c>
      <c r="AD20" s="109" t="e">
        <f>VLOOKUP(J16,数据源!$T$26:$AL$126,8,FALSE)</f>
        <v>#N/A</v>
      </c>
      <c r="AE20" s="97" t="str">
        <f t="shared" si="0"/>
        <v>无</v>
      </c>
    </row>
    <row r="21" spans="1:46" ht="14.25">
      <c r="J21" s="236" t="s">
        <v>245</v>
      </c>
      <c r="K21" s="107" t="e">
        <f>VLOOKUP(J21,数据源!$A$26:$S$126,8,FALSE)</f>
        <v>#N/A</v>
      </c>
      <c r="L21" s="107" t="e">
        <f>VLOOKUP(J21,数据源!$T$26:$AL$126,8,FALSE)</f>
        <v>#N/A</v>
      </c>
    </row>
    <row r="22" spans="1:46" ht="14.25">
      <c r="J22" s="236" t="s">
        <v>246</v>
      </c>
      <c r="K22" s="107" t="e">
        <f>VLOOKUP(J22,数据源!$A$26:$S$126,8,FALSE)</f>
        <v>#N/A</v>
      </c>
      <c r="L22" s="107" t="e">
        <f>VLOOKUP(J22,数据源!$T$26:$AL$126,8,FALSE)</f>
        <v>#N/A</v>
      </c>
    </row>
    <row r="23" spans="1:46" ht="14.25">
      <c r="J23" s="236" t="s">
        <v>247</v>
      </c>
      <c r="K23" s="107" t="e">
        <f>VLOOKUP(J23,数据源!$A$26:$S$126,8,FALSE)</f>
        <v>#N/A</v>
      </c>
      <c r="L23" s="107" t="e">
        <f>VLOOKUP(J23,数据源!$T$26:$AL$126,8,FALSE)</f>
        <v>#N/A</v>
      </c>
    </row>
    <row r="24" spans="1:46" ht="14.25">
      <c r="J24" s="236" t="s">
        <v>248</v>
      </c>
      <c r="K24" s="107" t="e">
        <f>VLOOKUP(J24,数据源!$A$26:$S$126,8,FALSE)</f>
        <v>#N/A</v>
      </c>
      <c r="L24" s="107" t="e">
        <f>VLOOKUP(J24,数据源!$T$26:$AL$126,8,FALSE)</f>
        <v>#N/A</v>
      </c>
    </row>
    <row r="25" spans="1:46" ht="14.25">
      <c r="J25" s="236" t="s">
        <v>249</v>
      </c>
      <c r="K25" s="107" t="e">
        <f>VLOOKUP(J25,数据源!$A$26:$S$126,8,FALSE)</f>
        <v>#N/A</v>
      </c>
      <c r="L25" s="107" t="e">
        <f>VLOOKUP(J25,数据源!$T$26:$AL$126,8,FALSE)</f>
        <v>#N/A</v>
      </c>
    </row>
    <row r="26" spans="1:46" ht="14.25">
      <c r="J26" s="236" t="s">
        <v>257</v>
      </c>
      <c r="K26" s="107" t="e">
        <f>VLOOKUP(J26,数据源!$A$26:$S$126,8,FALSE)</f>
        <v>#N/A</v>
      </c>
      <c r="L26" s="107" t="e">
        <f>VLOOKUP(J26,数据源!$T$26:$AL$126,8,FALSE)</f>
        <v>#N/A</v>
      </c>
    </row>
    <row r="27" spans="1:46" ht="14.25">
      <c r="J27" s="236" t="s">
        <v>258</v>
      </c>
      <c r="K27" s="107" t="e">
        <f>VLOOKUP(J27,数据源!$A$26:$S$126,8,FALSE)</f>
        <v>#N/A</v>
      </c>
      <c r="L27" s="107" t="e">
        <f>VLOOKUP(J27,数据源!$T$26:$AL$126,8,FALSE)</f>
        <v>#N/A</v>
      </c>
    </row>
    <row r="28" spans="1:46" ht="14.25">
      <c r="J28" s="236" t="s">
        <v>259</v>
      </c>
      <c r="K28" s="107" t="e">
        <f>VLOOKUP(J28,数据源!$A$26:$S$126,8,FALSE)</f>
        <v>#N/A</v>
      </c>
      <c r="L28" s="107" t="e">
        <f>VLOOKUP(J28,数据源!$T$26:$AL$126,8,FALSE)</f>
        <v>#N/A</v>
      </c>
    </row>
    <row r="29" spans="1:46" ht="14.25">
      <c r="J29" s="236" t="s">
        <v>260</v>
      </c>
      <c r="K29" s="107" t="e">
        <f>VLOOKUP(J29,数据源!$A$26:$S$126,8,FALSE)</f>
        <v>#N/A</v>
      </c>
      <c r="L29" s="107" t="e">
        <f>VLOOKUP(J29,数据源!$T$26:$AL$126,8,FALSE)</f>
        <v>#N/A</v>
      </c>
    </row>
    <row r="30" spans="1:46" ht="14.25">
      <c r="J30" s="236" t="s">
        <v>261</v>
      </c>
      <c r="K30" s="107" t="e">
        <f>VLOOKUP(J30,数据源!$A$26:$S$126,8,FALSE)</f>
        <v>#N/A</v>
      </c>
      <c r="L30" s="107" t="e">
        <f>VLOOKUP(J30,数据源!$T$26:$AL$126,8,FALSE)</f>
        <v>#N/A</v>
      </c>
    </row>
    <row r="31" spans="1:46" ht="14.25">
      <c r="J31" s="236" t="s">
        <v>264</v>
      </c>
      <c r="K31" s="107" t="e">
        <f>VLOOKUP(J31,数据源!$A$26:$S$126,8,FALSE)</f>
        <v>#N/A</v>
      </c>
      <c r="L31" s="107" t="e">
        <f>VLOOKUP(J31,数据源!$T$26:$AL$126,8,FALSE)</f>
        <v>#N/A</v>
      </c>
    </row>
    <row r="32" spans="1:46" ht="14.25">
      <c r="J32" s="236" t="s">
        <v>265</v>
      </c>
      <c r="K32" s="107" t="e">
        <f>VLOOKUP(J32,数据源!$A$26:$S$126,8,FALSE)</f>
        <v>#N/A</v>
      </c>
      <c r="L32" s="107" t="e">
        <f>VLOOKUP(J32,数据源!$T$26:$AL$126,8,FALSE)</f>
        <v>#N/A</v>
      </c>
    </row>
    <row r="33" spans="10:12" ht="14.25">
      <c r="J33" s="236" t="s">
        <v>266</v>
      </c>
      <c r="K33" s="107" t="e">
        <f>VLOOKUP(J33,数据源!$A$26:$S$126,8,FALSE)</f>
        <v>#N/A</v>
      </c>
      <c r="L33" s="107" t="e">
        <f>VLOOKUP(J33,数据源!$T$26:$AL$126,8,FALSE)</f>
        <v>#N/A</v>
      </c>
    </row>
    <row r="34" spans="10:12" ht="14.25">
      <c r="J34" s="236" t="s">
        <v>268</v>
      </c>
      <c r="K34" s="107" t="e">
        <f>VLOOKUP(J34,数据源!$A$26:$S$126,8,FALSE)</f>
        <v>#N/A</v>
      </c>
      <c r="L34" s="107" t="e">
        <f>VLOOKUP(J34,数据源!$T$26:$AL$126,8,FALSE)</f>
        <v>#N/A</v>
      </c>
    </row>
    <row r="35" spans="10:12" ht="14.25">
      <c r="J35" s="236" t="s">
        <v>269</v>
      </c>
      <c r="K35" s="107" t="e">
        <f>VLOOKUP(J35,数据源!$A$26:$S$126,8,FALSE)</f>
        <v>#N/A</v>
      </c>
      <c r="L35" s="107" t="e">
        <f>VLOOKUP(J35,数据源!$T$26:$AL$126,8,FALSE)</f>
        <v>#N/A</v>
      </c>
    </row>
    <row r="36" spans="10:12" ht="14.25">
      <c r="J36" s="236" t="s">
        <v>270</v>
      </c>
      <c r="K36" s="107" t="e">
        <f>VLOOKUP(J36,数据源!$A$26:$S$126,8,FALSE)</f>
        <v>#N/A</v>
      </c>
      <c r="L36" s="107" t="e">
        <f>VLOOKUP(J36,数据源!$T$26:$AL$126,8,FALSE)</f>
        <v>#N/A</v>
      </c>
    </row>
    <row r="37" spans="10:12" ht="14.25">
      <c r="J37" s="236" t="s">
        <v>234</v>
      </c>
      <c r="K37" s="107" t="e">
        <f>VLOOKUP(J37,数据源!$A$26:$S$126,8,FALSE)</f>
        <v>#N/A</v>
      </c>
      <c r="L37" s="107" t="e">
        <f>VLOOKUP(J37,数据源!$T$26:$AL$126,8,FALSE)</f>
        <v>#N/A</v>
      </c>
    </row>
    <row r="38" spans="10:12" ht="14.25">
      <c r="J38" s="236" t="s">
        <v>235</v>
      </c>
      <c r="K38" s="107" t="e">
        <f>VLOOKUP(J38,数据源!$A$26:$S$126,8,FALSE)</f>
        <v>#N/A</v>
      </c>
      <c r="L38" s="107" t="e">
        <f>VLOOKUP(J38,数据源!$T$26:$AL$126,8,FALSE)</f>
        <v>#N/A</v>
      </c>
    </row>
    <row r="39" spans="10:12" ht="14.25">
      <c r="J39" s="236" t="s">
        <v>262</v>
      </c>
      <c r="K39" s="107" t="e">
        <f>VLOOKUP(J39,数据源!$A$26:$S$126,8,FALSE)</f>
        <v>#N/A</v>
      </c>
      <c r="L39" s="107" t="e">
        <f>VLOOKUP(J39,数据源!$T$26:$AL$126,8,FALSE)</f>
        <v>#N/A</v>
      </c>
    </row>
    <row r="40" spans="10:12" ht="14.25">
      <c r="J40" s="236" t="s">
        <v>263</v>
      </c>
      <c r="K40" s="107" t="e">
        <f>VLOOKUP(J40,数据源!$A$26:$S$126,8,FALSE)</f>
        <v>#N/A</v>
      </c>
      <c r="L40" s="107" t="e">
        <f>VLOOKUP(J40,数据源!$T$26:$AL$126,8,FALSE)</f>
        <v>#N/A</v>
      </c>
    </row>
    <row r="41" spans="10:12" ht="14.25">
      <c r="J41" s="236" t="s">
        <v>267</v>
      </c>
      <c r="K41" s="107" t="e">
        <f>VLOOKUP(J41,数据源!$A$26:$S$126,8,FALSE)</f>
        <v>#N/A</v>
      </c>
      <c r="L41" s="107" t="e">
        <f>VLOOKUP(J41,数据源!$T$26:$AL$126,8,FALSE)</f>
        <v>#N/A</v>
      </c>
    </row>
    <row r="42" spans="10:12" ht="14.25">
      <c r="J42" s="236" t="s">
        <v>271</v>
      </c>
      <c r="K42" s="107" t="e">
        <f>VLOOKUP(J42,数据源!$A$26:$S$126,8,FALSE)</f>
        <v>#N/A</v>
      </c>
      <c r="L42" s="107" t="e">
        <f>VLOOKUP(J42,数据源!$T$26:$AL$126,8,FALSE)</f>
        <v>#N/A</v>
      </c>
    </row>
    <row r="43" spans="10:12" ht="14.25">
      <c r="J43" s="236" t="s">
        <v>272</v>
      </c>
      <c r="K43" s="107" t="e">
        <f>VLOOKUP(J43,数据源!$A$26:$S$126,8,FALSE)</f>
        <v>#N/A</v>
      </c>
      <c r="L43" s="107" t="e">
        <f>VLOOKUP(J43,数据源!$T$26:$AL$126,8,FALSE)</f>
        <v>#N/A</v>
      </c>
    </row>
    <row r="44" spans="10:12" ht="14.25">
      <c r="J44" s="236" t="s">
        <v>273</v>
      </c>
      <c r="K44" s="107" t="e">
        <f>VLOOKUP(J44,数据源!$A$26:$S$126,8,FALSE)</f>
        <v>#N/A</v>
      </c>
      <c r="L44" s="107" t="e">
        <f>VLOOKUP(J44,数据源!$T$26:$AL$126,8,FALSE)</f>
        <v>#N/A</v>
      </c>
    </row>
    <row r="45" spans="10:12" ht="14.25">
      <c r="J45" s="236" t="s">
        <v>274</v>
      </c>
      <c r="K45" s="107" t="e">
        <f>VLOOKUP(J45,数据源!$A$26:$S$126,8,FALSE)</f>
        <v>#N/A</v>
      </c>
      <c r="L45" s="107" t="e">
        <f>VLOOKUP(J45,数据源!$T$26:$AL$126,8,FALSE)</f>
        <v>#N/A</v>
      </c>
    </row>
    <row r="46" spans="10:12" ht="14.25">
      <c r="J46" s="236" t="s">
        <v>275</v>
      </c>
      <c r="K46" s="107" t="e">
        <f>VLOOKUP(J46,数据源!$A$26:$S$126,8,FALSE)</f>
        <v>#N/A</v>
      </c>
      <c r="L46" s="107" t="e">
        <f>VLOOKUP(J46,数据源!$T$26:$AL$126,8,FALSE)</f>
        <v>#N/A</v>
      </c>
    </row>
    <row r="47" spans="10:12" ht="14.25">
      <c r="J47" s="108" t="s">
        <v>170</v>
      </c>
      <c r="K47" s="107" t="e">
        <f>VLOOKUP(J47,数据源!$A$26:$S$126,8,FALSE)</f>
        <v>#N/A</v>
      </c>
      <c r="L47" s="107" t="e">
        <f>VLOOKUP(J47,数据源!$T$26:$AL$126,8,FALSE)</f>
        <v>#N/A</v>
      </c>
    </row>
    <row r="48" spans="10:12" ht="14.25">
      <c r="J48" s="236"/>
      <c r="K48" s="107" t="e">
        <f>VLOOKUP(J48,数据源!$A$26:$S$126,8,FALSE)</f>
        <v>#N/A</v>
      </c>
      <c r="L48" s="107" t="e">
        <f>VLOOKUP(J48,数据源!$T$26:$AL$126,8,FALSE)</f>
        <v>#N/A</v>
      </c>
    </row>
    <row r="49" spans="10:12" ht="14.25">
      <c r="J49" s="236"/>
      <c r="K49" s="107" t="e">
        <f>VLOOKUP(J49,数据源!$A$26:$S$126,8,FALSE)</f>
        <v>#N/A</v>
      </c>
      <c r="L49" s="107" t="e">
        <f>VLOOKUP(J49,数据源!$T$26:$AL$126,8,FALSE)</f>
        <v>#N/A</v>
      </c>
    </row>
    <row r="50" spans="10:12" ht="14.25">
      <c r="J50" s="236"/>
      <c r="K50" s="107" t="e">
        <f>VLOOKUP(J50,数据源!$A$26:$S$126,8,FALSE)</f>
        <v>#N/A</v>
      </c>
      <c r="L50" s="107" t="e">
        <f>VLOOKUP(J50,数据源!$T$26:$AL$126,8,FALSE)</f>
        <v>#N/A</v>
      </c>
    </row>
    <row r="51" spans="10:12" ht="14.25">
      <c r="J51" s="236"/>
      <c r="K51" s="107" t="e">
        <f>VLOOKUP(J51,数据源!$A$26:$S$126,8,FALSE)</f>
        <v>#N/A</v>
      </c>
      <c r="L51" s="107" t="e">
        <f>VLOOKUP(J51,数据源!$T$26:$AL$126,8,FALSE)</f>
        <v>#N/A</v>
      </c>
    </row>
    <row r="52" spans="10:12" ht="14.25">
      <c r="J52" s="236"/>
      <c r="K52" s="107" t="e">
        <f>VLOOKUP(J52,数据源!$A$26:$S$126,8,FALSE)</f>
        <v>#N/A</v>
      </c>
      <c r="L52" s="107" t="e">
        <f>VLOOKUP(J52,数据源!$T$26:$AL$126,8,FALSE)</f>
        <v>#N/A</v>
      </c>
    </row>
    <row r="53" spans="10:12" ht="14.25">
      <c r="J53" s="236"/>
      <c r="K53" s="107" t="e">
        <f>VLOOKUP(J53,数据源!$A$26:$S$126,8,FALSE)</f>
        <v>#N/A</v>
      </c>
      <c r="L53" s="107" t="e">
        <f>VLOOKUP(J53,数据源!$T$26:$AL$126,8,FALSE)</f>
        <v>#N/A</v>
      </c>
    </row>
    <row r="54" spans="10:12" ht="14.25">
      <c r="J54" s="108"/>
      <c r="K54" s="107" t="e">
        <f>VLOOKUP(J54,数据源!$A$26:$S$126,8,FALSE)</f>
        <v>#N/A</v>
      </c>
      <c r="L54" s="107" t="e">
        <f>VLOOKUP(J54,数据源!$T$26:$AL$126,8,FALSE)</f>
        <v>#N/A</v>
      </c>
    </row>
    <row r="55" spans="10:12" ht="14.25">
      <c r="J55" s="236"/>
      <c r="K55" s="107" t="e">
        <f>VLOOKUP(J55,数据源!$A$26:$S$126,8,FALSE)</f>
        <v>#N/A</v>
      </c>
      <c r="L55" s="107" t="e">
        <f>VLOOKUP(J55,数据源!$T$26:$AL$126,8,FALSE)</f>
        <v>#N/A</v>
      </c>
    </row>
    <row r="56" spans="10:12" ht="14.25">
      <c r="J56" s="236"/>
      <c r="K56" s="107" t="e">
        <f>VLOOKUP(J56,数据源!$A$26:$S$126,8,FALSE)</f>
        <v>#N/A</v>
      </c>
      <c r="L56" s="107" t="e">
        <f>VLOOKUP(J56,数据源!$T$26:$AL$126,8,FALSE)</f>
        <v>#N/A</v>
      </c>
    </row>
    <row r="57" spans="10:12" ht="14.25">
      <c r="J57" s="236"/>
      <c r="K57" s="107" t="e">
        <f>VLOOKUP(J57,数据源!$A$26:$S$126,8,FALSE)</f>
        <v>#N/A</v>
      </c>
      <c r="L57" s="107" t="e">
        <f>VLOOKUP(J57,数据源!$T$26:$AL$126,8,FALSE)</f>
        <v>#N/A</v>
      </c>
    </row>
    <row r="58" spans="10:12" ht="14.25">
      <c r="J58" s="236"/>
      <c r="K58" s="107" t="e">
        <f>VLOOKUP(J58,数据源!$A$26:$S$126,8,FALSE)</f>
        <v>#N/A</v>
      </c>
      <c r="L58" s="107" t="e">
        <f>VLOOKUP(J58,数据源!$T$26:$AL$126,8,FALSE)</f>
        <v>#N/A</v>
      </c>
    </row>
    <row r="59" spans="10:12" ht="14.25">
      <c r="J59" s="236"/>
      <c r="K59" s="107" t="e">
        <f>VLOOKUP(J59,数据源!$A$26:$S$126,8,FALSE)</f>
        <v>#N/A</v>
      </c>
      <c r="L59" s="107" t="e">
        <f>VLOOKUP(J59,数据源!$T$26:$AL$126,8,FALSE)</f>
        <v>#N/A</v>
      </c>
    </row>
    <row r="60" spans="10:12" ht="14.25">
      <c r="J60" s="236"/>
      <c r="K60" s="107" t="e">
        <f>VLOOKUP(J60,数据源!$A$26:$S$126,8,FALSE)</f>
        <v>#N/A</v>
      </c>
      <c r="L60" s="107" t="e">
        <f>VLOOKUP(J60,数据源!$T$26:$AL$126,8,FALSE)</f>
        <v>#N/A</v>
      </c>
    </row>
    <row r="61" spans="10:12">
      <c r="K61" s="97"/>
      <c r="L61" s="97"/>
    </row>
    <row r="62" spans="10:12">
      <c r="K62" s="97"/>
      <c r="L62" s="97"/>
    </row>
    <row r="63" spans="10:12">
      <c r="K63" s="97"/>
      <c r="L63" s="97"/>
    </row>
    <row r="64" spans="10:12">
      <c r="K64" s="97"/>
      <c r="L64" s="97"/>
    </row>
  </sheetData>
  <sheetProtection selectLockedCells="1"/>
  <mergeCells count="2">
    <mergeCell ref="L1:P1"/>
    <mergeCell ref="R1:S1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5">
    <tabColor theme="5" tint="0.39997558519241921"/>
  </sheetPr>
  <dimension ref="A1:I23"/>
  <sheetViews>
    <sheetView zoomScaleNormal="100" workbookViewId="0">
      <selection activeCell="G10" sqref="G10:I10"/>
    </sheetView>
  </sheetViews>
  <sheetFormatPr defaultRowHeight="13.5"/>
  <cols>
    <col min="1" max="1" width="1.25" style="97" customWidth="1"/>
    <col min="2" max="2" width="12.625" style="156" customWidth="1"/>
    <col min="3" max="4" width="16.625" style="156" customWidth="1"/>
    <col min="5" max="5" width="0.875" style="97" customWidth="1"/>
    <col min="6" max="6" width="10.625" style="156" customWidth="1"/>
    <col min="7" max="7" width="8.125" style="97" customWidth="1"/>
    <col min="8" max="8" width="21.625" style="156" customWidth="1"/>
    <col min="9" max="9" width="0.875" style="97" customWidth="1"/>
    <col min="10" max="16384" width="9" style="97"/>
  </cols>
  <sheetData>
    <row r="1" spans="1:9" ht="13.5" customHeight="1"/>
    <row r="2" spans="1:9" ht="21" customHeight="1">
      <c r="C2" s="288" t="s">
        <v>253</v>
      </c>
      <c r="D2" s="288"/>
      <c r="E2" s="288"/>
      <c r="F2" s="288"/>
      <c r="G2" s="288"/>
      <c r="H2" s="288"/>
    </row>
    <row r="3" spans="1:9" ht="15.75" customHeight="1">
      <c r="C3" s="289" t="s">
        <v>252</v>
      </c>
      <c r="D3" s="289"/>
      <c r="E3" s="289"/>
      <c r="F3" s="289"/>
      <c r="G3" s="289"/>
      <c r="H3" s="289"/>
    </row>
    <row r="4" spans="1:9" ht="3.2" customHeight="1"/>
    <row r="5" spans="1:9" ht="3.2" customHeight="1"/>
    <row r="6" spans="1:9" ht="24.95" customHeight="1">
      <c r="A6" s="290" t="s">
        <v>296</v>
      </c>
      <c r="B6" s="290"/>
      <c r="C6" s="290"/>
      <c r="D6" s="290"/>
      <c r="E6" s="290"/>
      <c r="F6" s="290"/>
      <c r="G6" s="290"/>
      <c r="H6" s="290"/>
      <c r="I6" s="290"/>
    </row>
    <row r="7" spans="1:9" ht="14.1" customHeight="1">
      <c r="A7" s="19" t="s">
        <v>295</v>
      </c>
      <c r="B7" s="163"/>
      <c r="C7" s="157"/>
      <c r="D7" s="157"/>
      <c r="E7" s="11"/>
      <c r="F7" s="291" t="s">
        <v>97</v>
      </c>
      <c r="G7" s="291"/>
      <c r="H7" s="152" t="str">
        <f>"C"&amp;TEXT(数据源!B2,"00000000000")</f>
        <v>C00000000000</v>
      </c>
    </row>
    <row r="8" spans="1:9" ht="3" customHeight="1">
      <c r="A8" s="8"/>
      <c r="B8" s="158"/>
      <c r="C8" s="158"/>
      <c r="D8" s="158"/>
      <c r="E8" s="8"/>
      <c r="F8" s="153"/>
      <c r="G8" s="13"/>
      <c r="H8" s="153"/>
      <c r="I8" s="125"/>
    </row>
    <row r="9" spans="1:9" s="156" customFormat="1" ht="16.5">
      <c r="A9" s="292" t="s">
        <v>82</v>
      </c>
      <c r="B9" s="293"/>
      <c r="C9" s="294">
        <f>数据源!G2</f>
        <v>0</v>
      </c>
      <c r="D9" s="294"/>
      <c r="E9" s="295" t="s">
        <v>98</v>
      </c>
      <c r="F9" s="295"/>
      <c r="G9" s="294">
        <f>数据源!O3</f>
        <v>0</v>
      </c>
      <c r="H9" s="294"/>
      <c r="I9" s="294"/>
    </row>
    <row r="10" spans="1:9" ht="19.5" customHeight="1">
      <c r="A10" s="296" t="s">
        <v>83</v>
      </c>
      <c r="B10" s="296"/>
      <c r="C10" s="299">
        <f>数据源!G12</f>
        <v>0</v>
      </c>
      <c r="D10" s="299"/>
      <c r="E10" s="300" t="s">
        <v>99</v>
      </c>
      <c r="F10" s="300"/>
      <c r="G10" s="298" t="str">
        <f>TEXT(数据源!B2,"00000000000")</f>
        <v>00000000000</v>
      </c>
      <c r="H10" s="298"/>
      <c r="I10" s="298"/>
    </row>
    <row r="11" spans="1:9" ht="16.5">
      <c r="A11" s="296" t="s">
        <v>84</v>
      </c>
      <c r="B11" s="296"/>
      <c r="C11" s="299">
        <f>数据源!G3</f>
        <v>0</v>
      </c>
      <c r="D11" s="299"/>
      <c r="E11" s="300" t="s">
        <v>102</v>
      </c>
      <c r="F11" s="300"/>
      <c r="G11" s="298" t="e">
        <f>数据修正!V2</f>
        <v>#N/A</v>
      </c>
      <c r="H11" s="298"/>
      <c r="I11" s="298"/>
    </row>
    <row r="12" spans="1:9" ht="19.5" customHeight="1">
      <c r="A12" s="292" t="s">
        <v>85</v>
      </c>
      <c r="B12" s="292"/>
      <c r="C12" s="298" t="str">
        <f>TEXT(数据源!B19,"#")&amp;数据源!B20</f>
        <v/>
      </c>
      <c r="D12" s="298"/>
      <c r="E12" s="300" t="s">
        <v>101</v>
      </c>
      <c r="F12" s="300"/>
      <c r="G12" s="298">
        <f>数据源!B21</f>
        <v>0</v>
      </c>
      <c r="H12" s="298"/>
      <c r="I12" s="298"/>
    </row>
    <row r="13" spans="1:9" ht="19.5" customHeight="1">
      <c r="A13" s="301" t="s">
        <v>87</v>
      </c>
      <c r="B13" s="301"/>
      <c r="C13" s="298" t="str">
        <f>数据源!G5&amp;数据修正!V1</f>
        <v>天</v>
      </c>
      <c r="D13" s="298"/>
      <c r="E13" s="300" t="s">
        <v>103</v>
      </c>
      <c r="F13" s="300"/>
      <c r="G13" s="298">
        <f>数据源!G7</f>
        <v>0</v>
      </c>
      <c r="H13" s="298"/>
      <c r="I13" s="298"/>
    </row>
    <row r="14" spans="1:9" ht="16.5">
      <c r="A14" s="296" t="s">
        <v>88</v>
      </c>
      <c r="B14" s="296"/>
      <c r="C14" s="294">
        <f>数据源!B14</f>
        <v>0</v>
      </c>
      <c r="D14" s="294"/>
      <c r="E14" s="294"/>
      <c r="F14" s="294"/>
      <c r="G14" s="294"/>
      <c r="H14" s="294"/>
      <c r="I14" s="294"/>
    </row>
    <row r="15" spans="1:9" ht="3" customHeight="1">
      <c r="A15" s="21"/>
      <c r="B15" s="167"/>
      <c r="C15" s="297"/>
      <c r="D15" s="297"/>
      <c r="E15" s="22"/>
      <c r="F15" s="172"/>
      <c r="G15" s="22"/>
      <c r="H15" s="172"/>
      <c r="I15" s="22"/>
    </row>
    <row r="16" spans="1:9" ht="23.25" customHeight="1">
      <c r="A16" s="305" t="s">
        <v>89</v>
      </c>
      <c r="B16" s="305"/>
      <c r="C16" s="305"/>
      <c r="D16" s="305"/>
      <c r="E16" s="305"/>
      <c r="F16" s="305"/>
      <c r="G16" s="305"/>
      <c r="H16" s="305"/>
      <c r="I16" s="305"/>
    </row>
    <row r="17" spans="1:9" ht="19.5" customHeight="1">
      <c r="A17" s="119"/>
      <c r="B17" s="15" t="s">
        <v>91</v>
      </c>
      <c r="C17" s="160" t="s">
        <v>96</v>
      </c>
      <c r="D17" s="304" t="s">
        <v>89</v>
      </c>
      <c r="E17" s="304"/>
      <c r="F17" s="15" t="s">
        <v>104</v>
      </c>
      <c r="G17" s="15" t="s">
        <v>106</v>
      </c>
      <c r="H17" s="304" t="s">
        <v>107</v>
      </c>
      <c r="I17" s="304"/>
    </row>
    <row r="18" spans="1:9" ht="16.5">
      <c r="A18" s="255"/>
      <c r="B18" s="273"/>
      <c r="C18" s="268"/>
      <c r="D18" s="268"/>
      <c r="E18" s="268"/>
      <c r="F18" s="255"/>
      <c r="G18" s="270"/>
      <c r="H18" s="268"/>
      <c r="I18" s="245"/>
    </row>
    <row r="19" spans="1:9" ht="16.5">
      <c r="A19" s="256"/>
      <c r="B19" s="255" t="s">
        <v>301</v>
      </c>
      <c r="C19" s="268"/>
      <c r="D19" s="268"/>
      <c r="E19" s="268"/>
      <c r="F19" s="255"/>
      <c r="G19" s="270"/>
      <c r="H19" s="268"/>
      <c r="I19" s="245"/>
    </row>
    <row r="20" spans="1:9" ht="0.95" customHeight="1">
      <c r="A20" s="256"/>
      <c r="B20" s="255"/>
      <c r="C20" s="268"/>
      <c r="D20" s="268"/>
      <c r="E20" s="268"/>
      <c r="F20" s="255"/>
      <c r="G20" s="270"/>
      <c r="H20" s="268"/>
      <c r="I20" s="245"/>
    </row>
    <row r="21" spans="1:9" ht="24.95" customHeight="1">
      <c r="A21" s="126" t="s">
        <v>90</v>
      </c>
      <c r="B21" s="168" t="s">
        <v>92</v>
      </c>
      <c r="C21" s="306" t="str">
        <f>数据修正!V7</f>
        <v>合格</v>
      </c>
      <c r="D21" s="306"/>
      <c r="E21" s="306"/>
      <c r="F21" s="306"/>
      <c r="G21" s="306"/>
      <c r="H21" s="306"/>
      <c r="I21" s="306"/>
    </row>
    <row r="22" spans="1:9" ht="51" customHeight="1">
      <c r="A22" s="121" t="s">
        <v>90</v>
      </c>
      <c r="B22" s="169" t="s">
        <v>93</v>
      </c>
      <c r="C22" s="302" t="str">
        <f>格式修正!Q5&amp;格式修正!S6&amp;格式修正!S7</f>
        <v xml:space="preserve">①未经本检验中心书面批准，不得复制（全文复制除外）检测报告。
</v>
      </c>
      <c r="D22" s="302"/>
      <c r="E22" s="302"/>
      <c r="F22" s="302"/>
      <c r="G22" s="302"/>
      <c r="H22" s="302"/>
      <c r="I22" s="302"/>
    </row>
    <row r="23" spans="1:9" ht="27.95" customHeight="1">
      <c r="A23" s="123"/>
      <c r="B23" s="170" t="s">
        <v>229</v>
      </c>
      <c r="C23" s="171" t="e">
        <f>数据修正!V4</f>
        <v>#N/A</v>
      </c>
      <c r="D23" s="171"/>
      <c r="E23" s="123"/>
      <c r="F23" s="170" t="s">
        <v>105</v>
      </c>
      <c r="G23" s="303" t="e">
        <f>数据修正!V5</f>
        <v>#N/A</v>
      </c>
      <c r="H23" s="303"/>
      <c r="I23" s="105"/>
    </row>
  </sheetData>
  <sheetProtection selectLockedCells="1"/>
  <mergeCells count="33">
    <mergeCell ref="G12:I12"/>
    <mergeCell ref="G11:I11"/>
    <mergeCell ref="G10:I10"/>
    <mergeCell ref="G9:I9"/>
    <mergeCell ref="C21:I21"/>
    <mergeCell ref="C22:I22"/>
    <mergeCell ref="G23:H23"/>
    <mergeCell ref="D17:E17"/>
    <mergeCell ref="H17:I17"/>
    <mergeCell ref="A16:I16"/>
    <mergeCell ref="A14:B14"/>
    <mergeCell ref="C15:D15"/>
    <mergeCell ref="C14:I14"/>
    <mergeCell ref="G13:I13"/>
    <mergeCell ref="A10:B10"/>
    <mergeCell ref="C10:D10"/>
    <mergeCell ref="E10:F10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C2:H2"/>
    <mergeCell ref="C3:H3"/>
    <mergeCell ref="A6:I6"/>
    <mergeCell ref="F7:G7"/>
    <mergeCell ref="A9:B9"/>
    <mergeCell ref="C9:D9"/>
    <mergeCell ref="E9:F9"/>
  </mergeCells>
  <phoneticPr fontId="3" type="noConversion"/>
  <printOptions horizontalCentered="1"/>
  <pageMargins left="0.62992125984251968" right="0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>
    <tabColor theme="5" tint="0.39997558519241921"/>
  </sheetPr>
  <dimension ref="A2:I24"/>
  <sheetViews>
    <sheetView topLeftCell="A4" zoomScaleNormal="100" workbookViewId="0">
      <selection activeCell="G13" sqref="G13:I13"/>
    </sheetView>
  </sheetViews>
  <sheetFormatPr defaultRowHeight="13.5"/>
  <cols>
    <col min="1" max="1" width="1.25" style="97" customWidth="1"/>
    <col min="2" max="2" width="12.625" style="156" customWidth="1"/>
    <col min="3" max="4" width="16.625" style="156" customWidth="1"/>
    <col min="5" max="5" width="0.875" style="97" customWidth="1"/>
    <col min="6" max="6" width="11.625" style="156" customWidth="1"/>
    <col min="7" max="7" width="8.125" style="156" customWidth="1"/>
    <col min="8" max="8" width="20.625" style="156" customWidth="1"/>
    <col min="9" max="9" width="0.875" style="97" customWidth="1"/>
    <col min="10" max="16384" width="9" style="97"/>
  </cols>
  <sheetData>
    <row r="2" spans="1:9" ht="21" customHeight="1">
      <c r="C2" s="307" t="s">
        <v>251</v>
      </c>
      <c r="D2" s="307"/>
      <c r="E2" s="307"/>
      <c r="F2" s="307"/>
      <c r="G2" s="307"/>
      <c r="H2" s="307"/>
    </row>
    <row r="3" spans="1:9" ht="15.75" customHeight="1">
      <c r="C3" s="308" t="s">
        <v>252</v>
      </c>
      <c r="D3" s="308"/>
      <c r="E3" s="308"/>
      <c r="F3" s="308"/>
      <c r="G3" s="308"/>
      <c r="H3" s="308"/>
    </row>
    <row r="4" spans="1:9" ht="6.6" customHeight="1"/>
    <row r="5" spans="1:9" ht="24.95" customHeight="1">
      <c r="A5" s="290" t="s">
        <v>294</v>
      </c>
      <c r="B5" s="290"/>
      <c r="C5" s="290"/>
      <c r="D5" s="290"/>
      <c r="E5" s="290"/>
      <c r="F5" s="290"/>
      <c r="G5" s="290"/>
      <c r="H5" s="290"/>
      <c r="I5" s="290"/>
    </row>
    <row r="6" spans="1:9" ht="14.1" customHeight="1">
      <c r="A6" s="19" t="s">
        <v>293</v>
      </c>
      <c r="B6" s="163"/>
      <c r="C6" s="157"/>
      <c r="D6" s="157"/>
      <c r="E6" s="11"/>
      <c r="F6" s="291" t="s">
        <v>97</v>
      </c>
      <c r="G6" s="291"/>
      <c r="H6" s="152" t="str">
        <f>"C"&amp;TEXT(数据源!B2,"00000000000")</f>
        <v>C00000000000</v>
      </c>
      <c r="I6" s="105"/>
    </row>
    <row r="7" spans="1:9" ht="3" customHeight="1">
      <c r="A7" s="8"/>
      <c r="B7" s="158"/>
      <c r="C7" s="158"/>
      <c r="D7" s="158"/>
      <c r="E7" s="8"/>
      <c r="F7" s="153"/>
      <c r="G7" s="153"/>
      <c r="H7" s="153"/>
      <c r="I7" s="125"/>
    </row>
    <row r="8" spans="1:9" s="156" customFormat="1" ht="16.5">
      <c r="A8" s="292" t="s">
        <v>82</v>
      </c>
      <c r="B8" s="293"/>
      <c r="C8" s="309">
        <f>数据源!G2</f>
        <v>0</v>
      </c>
      <c r="D8" s="309"/>
      <c r="E8" s="295" t="s">
        <v>108</v>
      </c>
      <c r="F8" s="295"/>
      <c r="G8" s="309">
        <f>数据源!O3</f>
        <v>0</v>
      </c>
      <c r="H8" s="309"/>
      <c r="I8" s="309"/>
    </row>
    <row r="9" spans="1:9" ht="19.5" customHeight="1">
      <c r="A9" s="296" t="s">
        <v>83</v>
      </c>
      <c r="B9" s="296"/>
      <c r="C9" s="299">
        <f>数据源!G12</f>
        <v>0</v>
      </c>
      <c r="D9" s="299"/>
      <c r="E9" s="300" t="s">
        <v>99</v>
      </c>
      <c r="F9" s="300"/>
      <c r="G9" s="299" t="str">
        <f>TEXT(数据源!B2,"00000000000")</f>
        <v>00000000000</v>
      </c>
      <c r="H9" s="299"/>
      <c r="I9" s="299"/>
    </row>
    <row r="10" spans="1:9" ht="16.5">
      <c r="A10" s="296" t="s">
        <v>84</v>
      </c>
      <c r="B10" s="296"/>
      <c r="C10" s="299">
        <f>数据源!G3</f>
        <v>0</v>
      </c>
      <c r="D10" s="299"/>
      <c r="E10" s="300" t="s">
        <v>100</v>
      </c>
      <c r="F10" s="300"/>
      <c r="G10" s="299">
        <f>数据源!O2</f>
        <v>0</v>
      </c>
      <c r="H10" s="299"/>
      <c r="I10" s="299"/>
    </row>
    <row r="11" spans="1:9" ht="19.5" customHeight="1">
      <c r="A11" s="292" t="s">
        <v>85</v>
      </c>
      <c r="B11" s="292"/>
      <c r="C11" s="299" t="str">
        <f>TEXT(数据修正!V26,"#")&amp;数据源!B20</f>
        <v/>
      </c>
      <c r="D11" s="299"/>
      <c r="E11" s="300" t="s">
        <v>101</v>
      </c>
      <c r="F11" s="300"/>
      <c r="G11" s="299">
        <f>数据源!B21</f>
        <v>0</v>
      </c>
      <c r="H11" s="299"/>
      <c r="I11" s="299"/>
    </row>
    <row r="12" spans="1:9" ht="19.5" customHeight="1">
      <c r="A12" s="292" t="s">
        <v>86</v>
      </c>
      <c r="B12" s="292"/>
      <c r="C12" s="299" t="str">
        <f>数据修正!X21</f>
        <v>0//</v>
      </c>
      <c r="D12" s="299"/>
      <c r="E12" s="300" t="s">
        <v>102</v>
      </c>
      <c r="F12" s="300"/>
      <c r="G12" s="299" t="e">
        <f>数据修正!V16</f>
        <v>#N/A</v>
      </c>
      <c r="H12" s="299"/>
      <c r="I12" s="299"/>
    </row>
    <row r="13" spans="1:9" ht="19.5" customHeight="1">
      <c r="A13" s="292" t="s">
        <v>87</v>
      </c>
      <c r="B13" s="292"/>
      <c r="C13" s="299" t="str">
        <f>数据源!G5&amp;数据修正!V1</f>
        <v>天</v>
      </c>
      <c r="D13" s="299"/>
      <c r="E13" s="300" t="s">
        <v>109</v>
      </c>
      <c r="F13" s="300"/>
      <c r="G13" s="299">
        <f>数据源!G9</f>
        <v>0</v>
      </c>
      <c r="H13" s="299"/>
      <c r="I13" s="299"/>
    </row>
    <row r="14" spans="1:9" ht="16.5">
      <c r="A14" s="296" t="s">
        <v>88</v>
      </c>
      <c r="B14" s="296"/>
      <c r="C14" s="299">
        <f>数据源!B14</f>
        <v>0</v>
      </c>
      <c r="D14" s="299"/>
      <c r="E14" s="300" t="s">
        <v>110</v>
      </c>
      <c r="F14" s="300"/>
      <c r="G14" s="299">
        <f>数据源!G8</f>
        <v>0</v>
      </c>
      <c r="H14" s="299"/>
      <c r="I14" s="299"/>
    </row>
    <row r="15" spans="1:9" ht="3" customHeight="1">
      <c r="A15" s="9"/>
      <c r="B15" s="164"/>
      <c r="C15" s="154"/>
      <c r="D15" s="154"/>
      <c r="E15" s="12"/>
      <c r="F15" s="154"/>
      <c r="G15" s="154"/>
      <c r="H15" s="154"/>
      <c r="I15" s="12"/>
    </row>
    <row r="16" spans="1:9" ht="23.25" customHeight="1">
      <c r="A16" s="311" t="s">
        <v>89</v>
      </c>
      <c r="B16" s="311"/>
      <c r="C16" s="311"/>
      <c r="D16" s="311"/>
      <c r="E16" s="311"/>
      <c r="F16" s="311"/>
      <c r="G16" s="311"/>
      <c r="H16" s="311"/>
      <c r="I16" s="311"/>
    </row>
    <row r="17" spans="1:9" ht="19.5" customHeight="1">
      <c r="A17" s="127"/>
      <c r="B17" s="128" t="s">
        <v>91</v>
      </c>
      <c r="C17" s="173" t="s">
        <v>96</v>
      </c>
      <c r="D17" s="312" t="s">
        <v>89</v>
      </c>
      <c r="E17" s="312"/>
      <c r="F17" s="128" t="s">
        <v>104</v>
      </c>
      <c r="G17" s="128" t="s">
        <v>106</v>
      </c>
      <c r="H17" s="312" t="s">
        <v>107</v>
      </c>
      <c r="I17" s="312"/>
    </row>
    <row r="18" spans="1:9" ht="16.5">
      <c r="A18" s="255"/>
      <c r="B18" s="273"/>
      <c r="C18" s="268"/>
      <c r="D18" s="268"/>
      <c r="E18" s="268"/>
      <c r="F18" s="255"/>
      <c r="G18" s="270"/>
      <c r="H18" s="268"/>
      <c r="I18" s="245"/>
    </row>
    <row r="19" spans="1:9" ht="16.5">
      <c r="A19" s="256"/>
      <c r="B19" s="255" t="s">
        <v>301</v>
      </c>
      <c r="C19" s="268"/>
      <c r="D19" s="268"/>
      <c r="E19" s="268"/>
      <c r="F19" s="255"/>
      <c r="G19" s="270"/>
      <c r="H19" s="268"/>
      <c r="I19" s="245"/>
    </row>
    <row r="20" spans="1:9" ht="0.95" customHeight="1">
      <c r="A20" s="256"/>
      <c r="B20" s="268"/>
      <c r="C20" s="268"/>
      <c r="D20" s="268"/>
      <c r="E20" s="268"/>
      <c r="F20" s="255"/>
      <c r="G20" s="270"/>
      <c r="H20" s="269"/>
      <c r="I20" s="247"/>
    </row>
    <row r="21" spans="1:9" ht="24.95" customHeight="1">
      <c r="A21" s="120" t="s">
        <v>90</v>
      </c>
      <c r="B21" s="165" t="s">
        <v>92</v>
      </c>
      <c r="C21" s="313" t="str">
        <f>数据修正!V7</f>
        <v>合格</v>
      </c>
      <c r="D21" s="313"/>
      <c r="E21" s="313"/>
      <c r="F21" s="313"/>
      <c r="G21" s="313"/>
      <c r="H21" s="313"/>
      <c r="I21" s="313"/>
    </row>
    <row r="22" spans="1:9" ht="80.25" customHeight="1">
      <c r="A22" s="122" t="s">
        <v>90</v>
      </c>
      <c r="B22" s="240" t="s">
        <v>93</v>
      </c>
      <c r="C22" s="314" t="str">
        <f>格式修正!Q5&amp;格式修正!O5&amp;格式修正!O6&amp;格式修正!O7&amp;格式修正!O8</f>
        <v xml:space="preserve">①未经本检验中心书面批准，不得复制（全文复制除外）检测报告。
</v>
      </c>
      <c r="D22" s="314"/>
      <c r="E22" s="314"/>
      <c r="F22" s="314"/>
      <c r="G22" s="314"/>
      <c r="H22" s="314"/>
      <c r="I22" s="314"/>
    </row>
    <row r="23" spans="1:9" ht="27.95" customHeight="1">
      <c r="A23" s="124"/>
      <c r="B23" s="161" t="s">
        <v>229</v>
      </c>
      <c r="C23" s="239" t="e">
        <f>数据修正!V4</f>
        <v>#N/A</v>
      </c>
      <c r="D23" s="239"/>
      <c r="E23" s="124"/>
      <c r="F23" s="161" t="s">
        <v>105</v>
      </c>
      <c r="G23" s="310" t="e">
        <f>数据修正!V5</f>
        <v>#N/A</v>
      </c>
      <c r="H23" s="310"/>
      <c r="I23" s="210"/>
    </row>
    <row r="24" spans="1:9">
      <c r="A24" s="105"/>
      <c r="B24" s="155"/>
      <c r="C24" s="155"/>
      <c r="D24" s="155"/>
      <c r="E24" s="105"/>
      <c r="F24" s="155"/>
      <c r="G24" s="155"/>
      <c r="H24" s="155"/>
      <c r="I24" s="105"/>
    </row>
  </sheetData>
  <sheetProtection selectLockedCells="1"/>
  <mergeCells count="38">
    <mergeCell ref="G23:H23"/>
    <mergeCell ref="A16:I16"/>
    <mergeCell ref="D17:E17"/>
    <mergeCell ref="H17:I17"/>
    <mergeCell ref="C21:I21"/>
    <mergeCell ref="C22:I22"/>
    <mergeCell ref="G13:I13"/>
    <mergeCell ref="G14:I14"/>
    <mergeCell ref="A11:B11"/>
    <mergeCell ref="C11:D11"/>
    <mergeCell ref="E11:F11"/>
    <mergeCell ref="A12:B12"/>
    <mergeCell ref="C12:D12"/>
    <mergeCell ref="E12:F12"/>
    <mergeCell ref="G11:I11"/>
    <mergeCell ref="G12:I12"/>
    <mergeCell ref="A13:B13"/>
    <mergeCell ref="C13:D13"/>
    <mergeCell ref="E13:F13"/>
    <mergeCell ref="A14:B14"/>
    <mergeCell ref="C14:D14"/>
    <mergeCell ref="E14:F14"/>
    <mergeCell ref="G9:I9"/>
    <mergeCell ref="G10:I10"/>
    <mergeCell ref="C2:H2"/>
    <mergeCell ref="C3:H3"/>
    <mergeCell ref="A5:I5"/>
    <mergeCell ref="F6:G6"/>
    <mergeCell ref="A8:B8"/>
    <mergeCell ref="C8:D8"/>
    <mergeCell ref="E8:F8"/>
    <mergeCell ref="G8:I8"/>
    <mergeCell ref="A9:B9"/>
    <mergeCell ref="C9:D9"/>
    <mergeCell ref="E9:F9"/>
    <mergeCell ref="A10:B10"/>
    <mergeCell ref="C10:D10"/>
    <mergeCell ref="E10:F10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>
    <tabColor theme="5" tint="0.39997558519241921"/>
  </sheetPr>
  <dimension ref="A1:P23"/>
  <sheetViews>
    <sheetView zoomScaleNormal="100" workbookViewId="0">
      <selection activeCell="G13" sqref="G13:I13"/>
    </sheetView>
  </sheetViews>
  <sheetFormatPr defaultRowHeight="13.5"/>
  <cols>
    <col min="1" max="1" width="1.25" style="97" customWidth="1"/>
    <col min="2" max="2" width="12.625" style="156" customWidth="1"/>
    <col min="3" max="4" width="16.625" style="156" customWidth="1"/>
    <col min="5" max="5" width="0.875" style="97" customWidth="1"/>
    <col min="6" max="6" width="10.625" style="156" customWidth="1"/>
    <col min="7" max="7" width="8.125" style="97" customWidth="1"/>
    <col min="8" max="8" width="21.625" style="156" customWidth="1"/>
    <col min="9" max="9" width="0.875" style="97" customWidth="1"/>
    <col min="10" max="16384" width="9" style="97"/>
  </cols>
  <sheetData>
    <row r="1" spans="1:16" ht="7.5" customHeight="1">
      <c r="A1" s="114"/>
      <c r="B1" s="151"/>
      <c r="C1" s="151"/>
      <c r="D1" s="151"/>
      <c r="E1" s="114"/>
      <c r="F1" s="151"/>
      <c r="G1" s="114"/>
      <c r="H1" s="151"/>
      <c r="I1" s="114"/>
    </row>
    <row r="2" spans="1:16" ht="21" customHeight="1">
      <c r="A2" s="114"/>
      <c r="B2" s="162"/>
      <c r="C2" s="307" t="s">
        <v>250</v>
      </c>
      <c r="D2" s="307"/>
      <c r="E2" s="307"/>
      <c r="F2" s="307"/>
      <c r="G2" s="307"/>
      <c r="H2" s="151"/>
      <c r="I2" s="114"/>
    </row>
    <row r="3" spans="1:16" ht="15.75" customHeight="1">
      <c r="A3" s="7"/>
      <c r="B3" s="151"/>
      <c r="C3" s="315" t="s">
        <v>252</v>
      </c>
      <c r="D3" s="315"/>
      <c r="E3" s="315"/>
      <c r="F3" s="315"/>
      <c r="G3" s="10"/>
      <c r="H3" s="10"/>
      <c r="I3" s="10"/>
    </row>
    <row r="4" spans="1:16" ht="6.6" customHeight="1">
      <c r="A4" s="114"/>
      <c r="B4" s="151"/>
      <c r="C4" s="10"/>
      <c r="D4" s="10"/>
      <c r="E4" s="10"/>
      <c r="F4" s="10"/>
      <c r="G4" s="10"/>
      <c r="H4" s="10"/>
      <c r="I4" s="10"/>
    </row>
    <row r="5" spans="1:16" ht="24.95" customHeight="1">
      <c r="A5" s="290" t="s">
        <v>292</v>
      </c>
      <c r="B5" s="290"/>
      <c r="C5" s="290"/>
      <c r="D5" s="290"/>
      <c r="E5" s="290"/>
      <c r="F5" s="290"/>
      <c r="G5" s="290"/>
      <c r="H5" s="290"/>
      <c r="I5" s="237"/>
    </row>
    <row r="6" spans="1:16" ht="14.1" customHeight="1">
      <c r="A6" s="19" t="s">
        <v>291</v>
      </c>
      <c r="B6" s="163"/>
      <c r="C6" s="157"/>
      <c r="D6" s="157"/>
      <c r="E6" s="20"/>
      <c r="F6" s="316" t="s">
        <v>211</v>
      </c>
      <c r="G6" s="316"/>
      <c r="H6" s="152" t="str">
        <f>"C"&amp;TEXT(数据源!B2,"00000000000")</f>
        <v>C00000000000</v>
      </c>
      <c r="I6" s="20"/>
    </row>
    <row r="7" spans="1:16" ht="3" customHeight="1">
      <c r="A7" s="8"/>
      <c r="B7" s="158"/>
      <c r="C7" s="158"/>
      <c r="D7" s="158"/>
      <c r="E7" s="8"/>
      <c r="F7" s="153"/>
      <c r="G7" s="13"/>
      <c r="H7" s="153"/>
      <c r="I7" s="13"/>
      <c r="M7" s="95"/>
      <c r="N7" s="17"/>
      <c r="O7" s="116"/>
    </row>
    <row r="8" spans="1:16" s="156" customFormat="1" ht="16.5">
      <c r="A8" s="292" t="s">
        <v>82</v>
      </c>
      <c r="B8" s="317"/>
      <c r="C8" s="318">
        <f>数据源!G2</f>
        <v>0</v>
      </c>
      <c r="D8" s="319"/>
      <c r="E8" s="295" t="s">
        <v>212</v>
      </c>
      <c r="F8" s="295"/>
      <c r="G8" s="294">
        <f>数据源!O3</f>
        <v>0</v>
      </c>
      <c r="H8" s="294"/>
      <c r="I8" s="294"/>
      <c r="M8" s="265"/>
      <c r="N8" s="112"/>
      <c r="P8" s="266"/>
    </row>
    <row r="9" spans="1:16" ht="19.5" customHeight="1">
      <c r="A9" s="296" t="s">
        <v>83</v>
      </c>
      <c r="B9" s="296"/>
      <c r="C9" s="318">
        <f>数据源!G12</f>
        <v>0</v>
      </c>
      <c r="D9" s="319"/>
      <c r="E9" s="300" t="s">
        <v>215</v>
      </c>
      <c r="F9" s="300"/>
      <c r="G9" s="294" t="str">
        <f>TEXT(数据源!B2,"00000000000")</f>
        <v>00000000000</v>
      </c>
      <c r="H9" s="294"/>
      <c r="I9" s="294"/>
      <c r="M9" s="95"/>
      <c r="N9" s="18"/>
      <c r="O9" s="116"/>
    </row>
    <row r="10" spans="1:16" ht="19.5" customHeight="1">
      <c r="A10" s="296" t="s">
        <v>84</v>
      </c>
      <c r="B10" s="296"/>
      <c r="C10" s="318">
        <f>数据源!G3</f>
        <v>0</v>
      </c>
      <c r="D10" s="319"/>
      <c r="E10" s="300" t="s">
        <v>213</v>
      </c>
      <c r="F10" s="300"/>
      <c r="G10" s="294">
        <f>数据源!O2</f>
        <v>0</v>
      </c>
      <c r="H10" s="294"/>
      <c r="I10" s="294"/>
      <c r="M10" s="95"/>
      <c r="N10" s="17"/>
      <c r="O10" s="117"/>
    </row>
    <row r="11" spans="1:16" ht="19.5" customHeight="1">
      <c r="A11" s="292" t="s">
        <v>85</v>
      </c>
      <c r="B11" s="292"/>
      <c r="C11" s="319" t="str">
        <f>TEXT(数据修正!V26,"#")&amp;数据源!B20</f>
        <v/>
      </c>
      <c r="D11" s="319"/>
      <c r="E11" s="300" t="s">
        <v>214</v>
      </c>
      <c r="F11" s="300"/>
      <c r="G11" s="294">
        <f>数据源!B21</f>
        <v>0</v>
      </c>
      <c r="H11" s="294"/>
      <c r="I11" s="294"/>
      <c r="M11" s="95"/>
      <c r="N11" s="17"/>
      <c r="O11" s="118"/>
    </row>
    <row r="12" spans="1:16" ht="19.5" customHeight="1">
      <c r="A12" s="292" t="s">
        <v>86</v>
      </c>
      <c r="B12" s="292"/>
      <c r="C12" s="294" t="str">
        <f>数据修正!X21</f>
        <v>0//</v>
      </c>
      <c r="D12" s="294"/>
      <c r="E12" s="300" t="s">
        <v>216</v>
      </c>
      <c r="F12" s="300"/>
      <c r="G12" s="294" t="e">
        <f>数据修正!V16</f>
        <v>#N/A</v>
      </c>
      <c r="H12" s="294"/>
      <c r="I12" s="294"/>
      <c r="M12" s="95"/>
      <c r="N12" s="17"/>
      <c r="O12" s="117"/>
    </row>
    <row r="13" spans="1:16" ht="19.5" customHeight="1">
      <c r="A13" s="292" t="s">
        <v>87</v>
      </c>
      <c r="B13" s="292"/>
      <c r="C13" s="319" t="str">
        <f>数据源!G5&amp;数据修正!V1</f>
        <v>天</v>
      </c>
      <c r="D13" s="319"/>
      <c r="E13" s="300" t="s">
        <v>217</v>
      </c>
      <c r="F13" s="300"/>
      <c r="G13" s="309">
        <f>数据源!G7</f>
        <v>0</v>
      </c>
      <c r="H13" s="309"/>
      <c r="I13" s="309"/>
      <c r="N13" s="112"/>
      <c r="O13" s="116"/>
    </row>
    <row r="14" spans="1:16" ht="16.5">
      <c r="A14" s="296" t="s">
        <v>88</v>
      </c>
      <c r="B14" s="296"/>
      <c r="C14" s="318">
        <f>数据源!B14</f>
        <v>0</v>
      </c>
      <c r="D14" s="318"/>
      <c r="E14" s="318"/>
      <c r="F14" s="318"/>
      <c r="G14" s="318"/>
      <c r="H14" s="318"/>
      <c r="I14" s="318"/>
    </row>
    <row r="15" spans="1:16" ht="3" customHeight="1">
      <c r="A15" s="9"/>
      <c r="B15" s="164"/>
      <c r="C15" s="154"/>
      <c r="D15" s="154"/>
      <c r="E15" s="12"/>
      <c r="F15" s="154"/>
      <c r="G15" s="12"/>
      <c r="H15" s="154"/>
      <c r="I15" s="12"/>
    </row>
    <row r="16" spans="1:16" ht="23.25" customHeight="1">
      <c r="A16" s="305" t="s">
        <v>89</v>
      </c>
      <c r="B16" s="305"/>
      <c r="C16" s="305"/>
      <c r="D16" s="305"/>
      <c r="E16" s="305"/>
      <c r="F16" s="305"/>
      <c r="G16" s="305"/>
      <c r="H16" s="305"/>
      <c r="I16" s="305"/>
    </row>
    <row r="17" spans="1:11" ht="19.5" customHeight="1">
      <c r="A17" s="119"/>
      <c r="B17" s="15" t="s">
        <v>91</v>
      </c>
      <c r="C17" s="160" t="s">
        <v>96</v>
      </c>
      <c r="D17" s="320" t="s">
        <v>89</v>
      </c>
      <c r="E17" s="320"/>
      <c r="F17" s="15" t="s">
        <v>104</v>
      </c>
      <c r="G17" s="15" t="s">
        <v>106</v>
      </c>
      <c r="H17" s="15" t="s">
        <v>107</v>
      </c>
      <c r="I17" s="238"/>
    </row>
    <row r="18" spans="1:11" ht="16.5">
      <c r="A18" s="255"/>
      <c r="B18" s="273"/>
      <c r="C18" s="268"/>
      <c r="D18" s="268"/>
      <c r="E18" s="268"/>
      <c r="F18" s="255"/>
      <c r="G18" s="270"/>
      <c r="H18" s="270"/>
      <c r="I18" s="246"/>
    </row>
    <row r="19" spans="1:11" ht="16.5">
      <c r="A19" s="256"/>
      <c r="B19" s="255" t="s">
        <v>301</v>
      </c>
      <c r="C19" s="268"/>
      <c r="D19" s="268"/>
      <c r="E19" s="268"/>
      <c r="F19" s="255"/>
      <c r="G19" s="270"/>
      <c r="H19" s="270"/>
      <c r="I19" s="246"/>
    </row>
    <row r="20" spans="1:11" ht="0.95" customHeight="1">
      <c r="A20" s="256"/>
      <c r="B20" s="268"/>
      <c r="C20" s="268"/>
      <c r="D20" s="269"/>
      <c r="E20" s="269"/>
      <c r="F20" s="255"/>
      <c r="G20" s="270"/>
      <c r="H20" s="274"/>
      <c r="I20" s="248"/>
    </row>
    <row r="21" spans="1:11" ht="24.95" customHeight="1">
      <c r="A21" s="120" t="s">
        <v>90</v>
      </c>
      <c r="B21" s="165" t="s">
        <v>92</v>
      </c>
      <c r="C21" s="306" t="str">
        <f>数据修正!V7</f>
        <v>合格</v>
      </c>
      <c r="D21" s="306"/>
      <c r="E21" s="306"/>
      <c r="F21" s="306"/>
      <c r="G21" s="306"/>
      <c r="H21" s="306"/>
      <c r="I21" s="306"/>
    </row>
    <row r="22" spans="1:11" ht="74.25" customHeight="1">
      <c r="A22" s="122" t="s">
        <v>90</v>
      </c>
      <c r="B22" s="240" t="s">
        <v>93</v>
      </c>
      <c r="C22" s="314" t="str">
        <f>格式修正!Q5&amp;格式修正!S6&amp;格式修正!S7&amp;格式修正!S2</f>
        <v xml:space="preserve">①未经本检验中心书面批准，不得复制（全文复制除外）检测报告。
</v>
      </c>
      <c r="D22" s="314"/>
      <c r="E22" s="314"/>
      <c r="F22" s="314"/>
      <c r="G22" s="314"/>
      <c r="H22" s="314"/>
      <c r="I22" s="314"/>
      <c r="J22" s="16"/>
      <c r="K22" s="16"/>
    </row>
    <row r="23" spans="1:11" ht="27.95" customHeight="1">
      <c r="A23" s="124"/>
      <c r="B23" s="161" t="s">
        <v>228</v>
      </c>
      <c r="C23" s="239" t="e">
        <f>数据修正!V4</f>
        <v>#N/A</v>
      </c>
      <c r="D23" s="239"/>
      <c r="E23" s="124"/>
      <c r="F23" s="161" t="s">
        <v>105</v>
      </c>
      <c r="G23" s="303" t="e">
        <f>数据修正!V5</f>
        <v>#N/A</v>
      </c>
      <c r="H23" s="303"/>
      <c r="I23" s="124"/>
    </row>
  </sheetData>
  <sheetProtection selectLockedCells="1"/>
  <mergeCells count="35">
    <mergeCell ref="C21:I21"/>
    <mergeCell ref="C22:I22"/>
    <mergeCell ref="G23:H23"/>
    <mergeCell ref="A16:I16"/>
    <mergeCell ref="D17:E17"/>
    <mergeCell ref="A13:B13"/>
    <mergeCell ref="C13:D13"/>
    <mergeCell ref="E13:F13"/>
    <mergeCell ref="G13:I13"/>
    <mergeCell ref="A14:B14"/>
    <mergeCell ref="C14:I14"/>
    <mergeCell ref="A11:B11"/>
    <mergeCell ref="C11:D11"/>
    <mergeCell ref="E11:F11"/>
    <mergeCell ref="G11:I11"/>
    <mergeCell ref="A12:B12"/>
    <mergeCell ref="C12:D12"/>
    <mergeCell ref="E12:F12"/>
    <mergeCell ref="G12:I12"/>
    <mergeCell ref="A9:B9"/>
    <mergeCell ref="C9:D9"/>
    <mergeCell ref="E9:F9"/>
    <mergeCell ref="G9:I9"/>
    <mergeCell ref="A10:B10"/>
    <mergeCell ref="C10:D10"/>
    <mergeCell ref="E10:F10"/>
    <mergeCell ref="G10:I10"/>
    <mergeCell ref="C2:G2"/>
    <mergeCell ref="C3:F3"/>
    <mergeCell ref="A5:H5"/>
    <mergeCell ref="F6:G6"/>
    <mergeCell ref="A8:B8"/>
    <mergeCell ref="C8:D8"/>
    <mergeCell ref="E8:F8"/>
    <mergeCell ref="G8:I8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>
    <tabColor rgb="FF92D050"/>
  </sheetPr>
  <dimension ref="A1:P23"/>
  <sheetViews>
    <sheetView zoomScaleNormal="100" workbookViewId="0">
      <selection activeCell="G13" sqref="G13:I13"/>
    </sheetView>
  </sheetViews>
  <sheetFormatPr defaultRowHeight="13.5"/>
  <cols>
    <col min="1" max="1" width="1.25" customWidth="1"/>
    <col min="2" max="2" width="12.625" style="156" customWidth="1"/>
    <col min="3" max="4" width="16.625" style="156" customWidth="1"/>
    <col min="5" max="5" width="0.875" customWidth="1"/>
    <col min="6" max="6" width="10.625" style="156" customWidth="1"/>
    <col min="7" max="7" width="8.125" customWidth="1"/>
    <col min="8" max="8" width="21.625" style="156" customWidth="1"/>
    <col min="9" max="9" width="0.875" style="97" customWidth="1"/>
  </cols>
  <sheetData>
    <row r="1" spans="1:16" ht="7.5" customHeight="1">
      <c r="A1" s="114"/>
      <c r="B1" s="151"/>
      <c r="C1" s="151"/>
      <c r="D1" s="151"/>
      <c r="E1" s="114"/>
      <c r="F1" s="151"/>
      <c r="G1" s="114"/>
      <c r="H1" s="151"/>
      <c r="I1" s="114"/>
    </row>
    <row r="2" spans="1:16" ht="21" customHeight="1">
      <c r="A2" s="114"/>
      <c r="B2" s="162"/>
      <c r="C2" s="307" t="s">
        <v>209</v>
      </c>
      <c r="D2" s="307"/>
      <c r="E2" s="307"/>
      <c r="F2" s="307"/>
      <c r="G2" s="307"/>
      <c r="H2" s="151"/>
      <c r="I2" s="114"/>
    </row>
    <row r="3" spans="1:16" ht="15.75" customHeight="1">
      <c r="A3" s="7"/>
      <c r="B3" s="151"/>
      <c r="C3" s="308" t="s">
        <v>210</v>
      </c>
      <c r="D3" s="308"/>
      <c r="E3" s="308"/>
      <c r="F3" s="308"/>
      <c r="G3" s="10"/>
      <c r="H3" s="10"/>
      <c r="I3" s="10"/>
    </row>
    <row r="4" spans="1:16" ht="6.6" customHeight="1">
      <c r="A4" s="114"/>
      <c r="B4" s="151"/>
      <c r="C4" s="10"/>
      <c r="D4" s="10"/>
      <c r="E4" s="10"/>
      <c r="F4" s="10"/>
      <c r="G4" s="10"/>
      <c r="H4" s="10"/>
      <c r="I4" s="10"/>
    </row>
    <row r="5" spans="1:16" ht="24.95" customHeight="1">
      <c r="A5" s="290" t="s">
        <v>276</v>
      </c>
      <c r="B5" s="290"/>
      <c r="C5" s="290"/>
      <c r="D5" s="290"/>
      <c r="E5" s="290"/>
      <c r="F5" s="290"/>
      <c r="G5" s="290"/>
      <c r="H5" s="290"/>
      <c r="I5" s="113"/>
    </row>
    <row r="6" spans="1:16" ht="14.1" customHeight="1">
      <c r="A6" s="19" t="s">
        <v>290</v>
      </c>
      <c r="B6" s="163"/>
      <c r="C6" s="157"/>
      <c r="D6" s="157"/>
      <c r="E6" s="20"/>
      <c r="F6" s="316" t="s">
        <v>211</v>
      </c>
      <c r="G6" s="316"/>
      <c r="H6" s="152" t="str">
        <f>"C"&amp;TEXT(数据源!B2,"00000000000")</f>
        <v>C00000000000</v>
      </c>
      <c r="I6" s="20"/>
    </row>
    <row r="7" spans="1:16" ht="3" customHeight="1">
      <c r="A7" s="8"/>
      <c r="B7" s="158"/>
      <c r="C7" s="158"/>
      <c r="D7" s="158"/>
      <c r="E7" s="8"/>
      <c r="F7" s="153"/>
      <c r="G7" s="13"/>
      <c r="H7" s="153"/>
      <c r="I7" s="13"/>
      <c r="M7" s="95"/>
      <c r="N7" s="17"/>
      <c r="O7" s="116"/>
    </row>
    <row r="8" spans="1:16" s="156" customFormat="1" ht="16.5">
      <c r="A8" s="292" t="s">
        <v>82</v>
      </c>
      <c r="B8" s="317"/>
      <c r="C8" s="318">
        <f>数据源!G2</f>
        <v>0</v>
      </c>
      <c r="D8" s="319"/>
      <c r="E8" s="295" t="s">
        <v>212</v>
      </c>
      <c r="F8" s="295"/>
      <c r="G8" s="294">
        <f>数据源!O3</f>
        <v>0</v>
      </c>
      <c r="H8" s="294"/>
      <c r="I8" s="294"/>
      <c r="M8" s="265"/>
      <c r="N8" s="112"/>
      <c r="P8" s="266"/>
    </row>
    <row r="9" spans="1:16" ht="19.5" customHeight="1">
      <c r="A9" s="296" t="s">
        <v>83</v>
      </c>
      <c r="B9" s="296"/>
      <c r="C9" s="318">
        <f>数据源!G12</f>
        <v>0</v>
      </c>
      <c r="D9" s="319"/>
      <c r="E9" s="300" t="s">
        <v>215</v>
      </c>
      <c r="F9" s="300"/>
      <c r="G9" s="294" t="str">
        <f>TEXT(数据源!B2,"00000000000")</f>
        <v>00000000000</v>
      </c>
      <c r="H9" s="294"/>
      <c r="I9" s="294"/>
      <c r="M9" s="95"/>
      <c r="N9" s="18"/>
      <c r="O9" s="116"/>
    </row>
    <row r="10" spans="1:16" ht="19.5" customHeight="1">
      <c r="A10" s="296" t="s">
        <v>84</v>
      </c>
      <c r="B10" s="296"/>
      <c r="C10" s="318">
        <f>数据源!G3</f>
        <v>0</v>
      </c>
      <c r="D10" s="319"/>
      <c r="E10" s="300" t="s">
        <v>213</v>
      </c>
      <c r="F10" s="300"/>
      <c r="G10" s="294">
        <f>数据源!O2</f>
        <v>0</v>
      </c>
      <c r="H10" s="294"/>
      <c r="I10" s="294"/>
      <c r="M10" s="95"/>
      <c r="N10" s="17"/>
      <c r="O10" s="117"/>
    </row>
    <row r="11" spans="1:16" ht="19.5" customHeight="1">
      <c r="A11" s="292" t="s">
        <v>85</v>
      </c>
      <c r="B11" s="292"/>
      <c r="C11" s="319" t="str">
        <f>TEXT(数据修正!V26,"#")&amp;数据源!B20</f>
        <v/>
      </c>
      <c r="D11" s="319"/>
      <c r="E11" s="300" t="s">
        <v>214</v>
      </c>
      <c r="F11" s="300"/>
      <c r="G11" s="294">
        <f>数据源!B21</f>
        <v>0</v>
      </c>
      <c r="H11" s="294"/>
      <c r="I11" s="294"/>
      <c r="M11" s="95"/>
      <c r="N11" s="17"/>
      <c r="O11" s="118"/>
    </row>
    <row r="12" spans="1:16" ht="19.5" customHeight="1">
      <c r="A12" s="292" t="s">
        <v>86</v>
      </c>
      <c r="B12" s="292"/>
      <c r="C12" s="294" t="str">
        <f>数据修正!X21</f>
        <v>0//</v>
      </c>
      <c r="D12" s="294"/>
      <c r="E12" s="300" t="s">
        <v>216</v>
      </c>
      <c r="F12" s="300"/>
      <c r="G12" s="294" t="e">
        <f>数据修正!V16</f>
        <v>#N/A</v>
      </c>
      <c r="H12" s="294"/>
      <c r="I12" s="294"/>
      <c r="M12" s="95"/>
      <c r="N12" s="17"/>
      <c r="O12" s="117"/>
    </row>
    <row r="13" spans="1:16" ht="19.5" customHeight="1">
      <c r="A13" s="292" t="s">
        <v>87</v>
      </c>
      <c r="B13" s="292"/>
      <c r="C13" s="319" t="str">
        <f>数据源!G5&amp;数据修正!V1</f>
        <v>天</v>
      </c>
      <c r="D13" s="319"/>
      <c r="E13" s="300" t="s">
        <v>217</v>
      </c>
      <c r="F13" s="300"/>
      <c r="G13" s="321">
        <f>数据源!G7</f>
        <v>0</v>
      </c>
      <c r="H13" s="321"/>
      <c r="I13" s="321"/>
      <c r="N13" s="112"/>
      <c r="O13" s="116"/>
    </row>
    <row r="14" spans="1:16" ht="16.5">
      <c r="A14" s="296" t="s">
        <v>88</v>
      </c>
      <c r="B14" s="296"/>
      <c r="C14" s="318">
        <f>数据源!B14</f>
        <v>0</v>
      </c>
      <c r="D14" s="318"/>
      <c r="E14" s="318"/>
      <c r="F14" s="318"/>
      <c r="G14" s="318"/>
      <c r="H14" s="318"/>
      <c r="I14" s="318"/>
    </row>
    <row r="15" spans="1:16" ht="3" customHeight="1">
      <c r="A15" s="9"/>
      <c r="B15" s="164"/>
      <c r="C15" s="154"/>
      <c r="D15" s="154"/>
      <c r="E15" s="12"/>
      <c r="F15" s="154"/>
      <c r="G15" s="12"/>
      <c r="H15" s="154"/>
      <c r="I15" s="12"/>
    </row>
    <row r="16" spans="1:16" ht="23.25" customHeight="1">
      <c r="A16" s="305" t="s">
        <v>89</v>
      </c>
      <c r="B16" s="305"/>
      <c r="C16" s="305"/>
      <c r="D16" s="305"/>
      <c r="E16" s="305"/>
      <c r="F16" s="305"/>
      <c r="G16" s="305"/>
      <c r="H16" s="305"/>
      <c r="I16" s="305"/>
    </row>
    <row r="17" spans="1:11" ht="19.5" customHeight="1">
      <c r="A17" s="119"/>
      <c r="B17" s="15" t="s">
        <v>91</v>
      </c>
      <c r="C17" s="160" t="s">
        <v>96</v>
      </c>
      <c r="D17" s="320" t="s">
        <v>89</v>
      </c>
      <c r="E17" s="320"/>
      <c r="F17" s="15" t="s">
        <v>104</v>
      </c>
      <c r="G17" s="15" t="s">
        <v>106</v>
      </c>
      <c r="H17" s="15" t="s">
        <v>107</v>
      </c>
      <c r="I17" s="115"/>
    </row>
    <row r="18" spans="1:11" ht="16.5">
      <c r="A18" s="255"/>
      <c r="B18" s="275"/>
      <c r="C18" s="270"/>
      <c r="D18" s="270"/>
      <c r="E18" s="270"/>
      <c r="F18" s="255"/>
      <c r="G18" s="270"/>
      <c r="H18" s="270"/>
      <c r="I18" s="246"/>
    </row>
    <row r="19" spans="1:11" ht="16.5">
      <c r="A19" s="256"/>
      <c r="B19" s="255" t="s">
        <v>301</v>
      </c>
      <c r="C19" s="270"/>
      <c r="D19" s="270"/>
      <c r="E19" s="270"/>
      <c r="F19" s="255"/>
      <c r="G19" s="270"/>
      <c r="H19" s="270"/>
      <c r="I19" s="246"/>
    </row>
    <row r="20" spans="1:11" ht="0.95" customHeight="1">
      <c r="A20" s="256"/>
      <c r="B20" s="270"/>
      <c r="C20" s="270"/>
      <c r="D20" s="271"/>
      <c r="E20" s="271"/>
      <c r="F20" s="255"/>
      <c r="G20" s="270"/>
      <c r="H20" s="276"/>
      <c r="I20" s="248"/>
    </row>
    <row r="21" spans="1:11" ht="24.95" customHeight="1">
      <c r="A21" s="120" t="s">
        <v>90</v>
      </c>
      <c r="B21" s="165" t="s">
        <v>92</v>
      </c>
      <c r="C21" s="306" t="str">
        <f>数据修正!V7</f>
        <v>合格</v>
      </c>
      <c r="D21" s="306"/>
      <c r="E21" s="306"/>
      <c r="F21" s="306"/>
      <c r="G21" s="306"/>
      <c r="H21" s="306"/>
      <c r="I21" s="306"/>
    </row>
    <row r="22" spans="1:11" ht="74.25" customHeight="1">
      <c r="A22" s="122" t="s">
        <v>90</v>
      </c>
      <c r="B22" s="166" t="s">
        <v>93</v>
      </c>
      <c r="C22" s="314" t="str">
        <f>格式修正!Q5&amp;格式修正!S6&amp;格式修正!S7&amp;格式修正!S2</f>
        <v xml:space="preserve">①未经本检验中心书面批准，不得复制（全文复制除外）检测报告。
</v>
      </c>
      <c r="D22" s="314"/>
      <c r="E22" s="314"/>
      <c r="F22" s="314"/>
      <c r="G22" s="314"/>
      <c r="H22" s="314"/>
      <c r="I22" s="314"/>
      <c r="J22" s="16"/>
      <c r="K22" s="16"/>
    </row>
    <row r="23" spans="1:11" ht="27.95" customHeight="1">
      <c r="A23" s="124"/>
      <c r="B23" s="161" t="s">
        <v>228</v>
      </c>
      <c r="C23" s="159" t="e">
        <f>数据修正!V4</f>
        <v>#N/A</v>
      </c>
      <c r="D23" s="159"/>
      <c r="E23" s="124"/>
      <c r="F23" s="161" t="s">
        <v>105</v>
      </c>
      <c r="G23" s="303" t="e">
        <f>数据修正!V5</f>
        <v>#N/A</v>
      </c>
      <c r="H23" s="303"/>
      <c r="I23" s="124"/>
    </row>
  </sheetData>
  <sheetProtection selectLockedCells="1"/>
  <mergeCells count="35">
    <mergeCell ref="A5:H5"/>
    <mergeCell ref="A8:B8"/>
    <mergeCell ref="E8:F8"/>
    <mergeCell ref="A9:B9"/>
    <mergeCell ref="E9:F9"/>
    <mergeCell ref="F6:G6"/>
    <mergeCell ref="C8:D8"/>
    <mergeCell ref="C9:D9"/>
    <mergeCell ref="A14:B14"/>
    <mergeCell ref="D17:E17"/>
    <mergeCell ref="C14:I14"/>
    <mergeCell ref="A10:B10"/>
    <mergeCell ref="A11:B11"/>
    <mergeCell ref="A12:B12"/>
    <mergeCell ref="E10:F10"/>
    <mergeCell ref="E11:F11"/>
    <mergeCell ref="E12:F12"/>
    <mergeCell ref="C10:D10"/>
    <mergeCell ref="C11:D11"/>
    <mergeCell ref="G23:H23"/>
    <mergeCell ref="C3:F3"/>
    <mergeCell ref="C2:G2"/>
    <mergeCell ref="C12:D12"/>
    <mergeCell ref="C21:I21"/>
    <mergeCell ref="C13:D13"/>
    <mergeCell ref="C22:I22"/>
    <mergeCell ref="A16:I16"/>
    <mergeCell ref="G8:I8"/>
    <mergeCell ref="G9:I9"/>
    <mergeCell ref="G10:I10"/>
    <mergeCell ref="G11:I11"/>
    <mergeCell ref="G12:I12"/>
    <mergeCell ref="G13:I13"/>
    <mergeCell ref="A13:B13"/>
    <mergeCell ref="E13:F13"/>
  </mergeCells>
  <phoneticPr fontId="6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tabColor rgb="FF92D050"/>
  </sheetPr>
  <dimension ref="A1:I23"/>
  <sheetViews>
    <sheetView zoomScaleNormal="100" workbookViewId="0">
      <selection activeCell="C11" sqref="C11:D11"/>
    </sheetView>
  </sheetViews>
  <sheetFormatPr defaultRowHeight="13.5"/>
  <cols>
    <col min="1" max="1" width="1.25" customWidth="1"/>
    <col min="2" max="2" width="12.625" style="156" customWidth="1"/>
    <col min="3" max="4" width="16.625" style="156" customWidth="1"/>
    <col min="5" max="5" width="0.875" customWidth="1"/>
    <col min="6" max="6" width="10.625" style="156" customWidth="1"/>
    <col min="7" max="7" width="8.125" customWidth="1"/>
    <col min="8" max="8" width="21.625" style="156" customWidth="1"/>
    <col min="9" max="9" width="0.875" customWidth="1"/>
  </cols>
  <sheetData>
    <row r="1" spans="1:9" ht="13.5" customHeight="1"/>
    <row r="2" spans="1:9" ht="21" customHeight="1">
      <c r="C2" s="288" t="s">
        <v>94</v>
      </c>
      <c r="D2" s="288"/>
      <c r="E2" s="288"/>
      <c r="F2" s="288"/>
      <c r="G2" s="288"/>
      <c r="H2" s="288"/>
    </row>
    <row r="3" spans="1:9" ht="15.75" customHeight="1">
      <c r="C3" s="289" t="s">
        <v>95</v>
      </c>
      <c r="D3" s="289"/>
      <c r="E3" s="289"/>
      <c r="F3" s="289"/>
      <c r="G3" s="289"/>
      <c r="H3" s="289"/>
    </row>
    <row r="4" spans="1:9" ht="3.2" customHeight="1"/>
    <row r="5" spans="1:9" ht="3.2" customHeight="1"/>
    <row r="6" spans="1:9" ht="24.95" customHeight="1">
      <c r="A6" s="290" t="s">
        <v>277</v>
      </c>
      <c r="B6" s="290"/>
      <c r="C6" s="290"/>
      <c r="D6" s="290"/>
      <c r="E6" s="290"/>
      <c r="F6" s="290"/>
      <c r="G6" s="290"/>
      <c r="H6" s="290"/>
      <c r="I6" s="290"/>
    </row>
    <row r="7" spans="1:9" ht="14.1" customHeight="1">
      <c r="A7" s="19" t="s">
        <v>289</v>
      </c>
      <c r="B7" s="163"/>
      <c r="C7" s="157"/>
      <c r="D7" s="157"/>
      <c r="E7" s="11"/>
      <c r="F7" s="291" t="s">
        <v>97</v>
      </c>
      <c r="G7" s="291"/>
      <c r="H7" s="152" t="str">
        <f>"C"&amp;TEXT(数据源!B2,"00000000000")</f>
        <v>C00000000000</v>
      </c>
    </row>
    <row r="8" spans="1:9" ht="3" customHeight="1">
      <c r="A8" s="8"/>
      <c r="B8" s="158"/>
      <c r="C8" s="158"/>
      <c r="D8" s="158"/>
      <c r="E8" s="8"/>
      <c r="F8" s="153"/>
      <c r="G8" s="13"/>
      <c r="H8" s="153"/>
      <c r="I8" s="125"/>
    </row>
    <row r="9" spans="1:9" s="156" customFormat="1" ht="16.5">
      <c r="A9" s="292" t="s">
        <v>82</v>
      </c>
      <c r="B9" s="293"/>
      <c r="C9" s="323">
        <f>数据源!G2</f>
        <v>0</v>
      </c>
      <c r="D9" s="323"/>
      <c r="E9" s="295" t="s">
        <v>98</v>
      </c>
      <c r="F9" s="295"/>
      <c r="G9" s="294">
        <f>数据源!O3</f>
        <v>0</v>
      </c>
      <c r="H9" s="294"/>
      <c r="I9" s="294"/>
    </row>
    <row r="10" spans="1:9" ht="19.5" customHeight="1">
      <c r="A10" s="296" t="s">
        <v>83</v>
      </c>
      <c r="B10" s="296"/>
      <c r="C10" s="324">
        <f>数据源!G12</f>
        <v>0</v>
      </c>
      <c r="D10" s="324"/>
      <c r="E10" s="300" t="s">
        <v>99</v>
      </c>
      <c r="F10" s="300"/>
      <c r="G10" s="298" t="str">
        <f>TEXT(数据源!B2,"00000000000")</f>
        <v>00000000000</v>
      </c>
      <c r="H10" s="298"/>
      <c r="I10" s="298"/>
    </row>
    <row r="11" spans="1:9" ht="16.5">
      <c r="A11" s="296" t="s">
        <v>84</v>
      </c>
      <c r="B11" s="296"/>
      <c r="C11" s="324">
        <f>数据源!G3</f>
        <v>0</v>
      </c>
      <c r="D11" s="324"/>
      <c r="E11" s="300" t="s">
        <v>102</v>
      </c>
      <c r="F11" s="300"/>
      <c r="G11" s="298" t="e">
        <f>数据修正!V2</f>
        <v>#N/A</v>
      </c>
      <c r="H11" s="298"/>
      <c r="I11" s="298"/>
    </row>
    <row r="12" spans="1:9" ht="19.5" customHeight="1">
      <c r="A12" s="292" t="s">
        <v>85</v>
      </c>
      <c r="B12" s="292"/>
      <c r="C12" s="322" t="str">
        <f>TEXT(数据源!B19,"#")&amp;数据源!B20</f>
        <v/>
      </c>
      <c r="D12" s="322"/>
      <c r="E12" s="300" t="s">
        <v>101</v>
      </c>
      <c r="F12" s="300"/>
      <c r="G12" s="298">
        <f>数据源!B21</f>
        <v>0</v>
      </c>
      <c r="H12" s="298"/>
      <c r="I12" s="298"/>
    </row>
    <row r="13" spans="1:9" ht="19.5" customHeight="1">
      <c r="A13" s="301" t="s">
        <v>87</v>
      </c>
      <c r="B13" s="301"/>
      <c r="C13" s="322" t="str">
        <f>数据源!G5&amp;数据修正!V1</f>
        <v>天</v>
      </c>
      <c r="D13" s="322"/>
      <c r="E13" s="300" t="s">
        <v>103</v>
      </c>
      <c r="F13" s="300"/>
      <c r="G13" s="298">
        <f>数据源!G7</f>
        <v>0</v>
      </c>
      <c r="H13" s="298"/>
      <c r="I13" s="298"/>
    </row>
    <row r="14" spans="1:9" ht="16.5">
      <c r="A14" s="296" t="s">
        <v>88</v>
      </c>
      <c r="B14" s="296"/>
      <c r="C14" s="323">
        <f>数据源!B14</f>
        <v>0</v>
      </c>
      <c r="D14" s="323"/>
      <c r="E14" s="323"/>
      <c r="F14" s="323"/>
      <c r="G14" s="323"/>
      <c r="H14" s="323"/>
      <c r="I14" s="323"/>
    </row>
    <row r="15" spans="1:9" ht="3" customHeight="1">
      <c r="A15" s="21"/>
      <c r="B15" s="167"/>
      <c r="C15" s="297"/>
      <c r="D15" s="297"/>
      <c r="E15" s="22"/>
      <c r="F15" s="172"/>
      <c r="G15" s="22"/>
      <c r="H15" s="172"/>
      <c r="I15" s="22"/>
    </row>
    <row r="16" spans="1:9" ht="23.25" customHeight="1">
      <c r="A16" s="305" t="s">
        <v>89</v>
      </c>
      <c r="B16" s="305"/>
      <c r="C16" s="305"/>
      <c r="D16" s="305"/>
      <c r="E16" s="305"/>
      <c r="F16" s="305"/>
      <c r="G16" s="305"/>
      <c r="H16" s="305"/>
      <c r="I16" s="305"/>
    </row>
    <row r="17" spans="1:9" ht="19.5" customHeight="1">
      <c r="A17" s="119"/>
      <c r="B17" s="15" t="s">
        <v>91</v>
      </c>
      <c r="C17" s="160" t="s">
        <v>96</v>
      </c>
      <c r="D17" s="304" t="s">
        <v>89</v>
      </c>
      <c r="E17" s="304"/>
      <c r="F17" s="15" t="s">
        <v>104</v>
      </c>
      <c r="G17" s="15" t="s">
        <v>106</v>
      </c>
      <c r="H17" s="304" t="s">
        <v>107</v>
      </c>
      <c r="I17" s="304"/>
    </row>
    <row r="18" spans="1:9" ht="16.5">
      <c r="A18" s="255"/>
      <c r="B18" s="275"/>
      <c r="C18" s="270"/>
      <c r="D18" s="270"/>
      <c r="E18" s="270"/>
      <c r="F18" s="255"/>
      <c r="G18" s="270"/>
      <c r="H18" s="270"/>
      <c r="I18" s="245"/>
    </row>
    <row r="19" spans="1:9" ht="16.5">
      <c r="A19" s="256"/>
      <c r="B19" s="255" t="s">
        <v>301</v>
      </c>
      <c r="C19" s="270"/>
      <c r="D19" s="270"/>
      <c r="E19" s="270"/>
      <c r="F19" s="255"/>
      <c r="G19" s="270"/>
      <c r="H19" s="270"/>
      <c r="I19" s="245"/>
    </row>
    <row r="20" spans="1:9" ht="0.95" customHeight="1">
      <c r="A20" s="256"/>
      <c r="B20" s="270"/>
      <c r="C20" s="270"/>
      <c r="D20" s="271"/>
      <c r="E20" s="271"/>
      <c r="F20" s="255"/>
      <c r="G20" s="270"/>
      <c r="H20" s="271"/>
      <c r="I20" s="247"/>
    </row>
    <row r="21" spans="1:9" ht="24.95" customHeight="1">
      <c r="A21" s="126" t="s">
        <v>90</v>
      </c>
      <c r="B21" s="168" t="s">
        <v>92</v>
      </c>
      <c r="C21" s="306" t="str">
        <f>数据修正!V7</f>
        <v>合格</v>
      </c>
      <c r="D21" s="306"/>
      <c r="E21" s="306"/>
      <c r="F21" s="306"/>
      <c r="G21" s="306"/>
      <c r="H21" s="306"/>
      <c r="I21" s="306"/>
    </row>
    <row r="22" spans="1:9" ht="33" customHeight="1">
      <c r="A22" s="121" t="s">
        <v>90</v>
      </c>
      <c r="B22" s="169" t="s">
        <v>93</v>
      </c>
      <c r="C22" s="302" t="str">
        <f>格式修正!Q5&amp;格式修正!S6&amp;格式修正!S7</f>
        <v xml:space="preserve">①未经本检验中心书面批准，不得复制（全文复制除外）检测报告。
</v>
      </c>
      <c r="D22" s="302"/>
      <c r="E22" s="302"/>
      <c r="F22" s="302"/>
      <c r="G22" s="302"/>
      <c r="H22" s="302"/>
      <c r="I22" s="302"/>
    </row>
    <row r="23" spans="1:9" ht="27.95" customHeight="1">
      <c r="A23" s="123"/>
      <c r="B23" s="170" t="s">
        <v>229</v>
      </c>
      <c r="C23" s="171" t="e">
        <f>数据修正!V4</f>
        <v>#N/A</v>
      </c>
      <c r="D23" s="171"/>
      <c r="E23" s="123"/>
      <c r="F23" s="170" t="s">
        <v>105</v>
      </c>
      <c r="G23" s="303" t="e">
        <f>数据修正!V5</f>
        <v>#N/A</v>
      </c>
      <c r="H23" s="303"/>
      <c r="I23" s="105"/>
    </row>
  </sheetData>
  <sheetProtection selectLockedCells="1"/>
  <mergeCells count="33">
    <mergeCell ref="G13:I13"/>
    <mergeCell ref="A11:B11"/>
    <mergeCell ref="E11:F11"/>
    <mergeCell ref="A12:B12"/>
    <mergeCell ref="E12:F12"/>
    <mergeCell ref="G9:I9"/>
    <mergeCell ref="G10:I10"/>
    <mergeCell ref="G11:I11"/>
    <mergeCell ref="G12:I12"/>
    <mergeCell ref="A6:I6"/>
    <mergeCell ref="A9:B9"/>
    <mergeCell ref="E9:F9"/>
    <mergeCell ref="A10:B10"/>
    <mergeCell ref="E10:F10"/>
    <mergeCell ref="F7:G7"/>
    <mergeCell ref="C9:D9"/>
    <mergeCell ref="C10:D10"/>
    <mergeCell ref="G23:H23"/>
    <mergeCell ref="A16:I16"/>
    <mergeCell ref="C2:H2"/>
    <mergeCell ref="C3:H3"/>
    <mergeCell ref="A13:B13"/>
    <mergeCell ref="E13:F13"/>
    <mergeCell ref="C13:D13"/>
    <mergeCell ref="D17:E17"/>
    <mergeCell ref="H17:I17"/>
    <mergeCell ref="A14:B14"/>
    <mergeCell ref="C21:I21"/>
    <mergeCell ref="C22:I22"/>
    <mergeCell ref="C15:D15"/>
    <mergeCell ref="C14:I14"/>
    <mergeCell ref="C11:D11"/>
    <mergeCell ref="C12:D1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2:J24"/>
  <sheetViews>
    <sheetView zoomScaleNormal="100" workbookViewId="0">
      <selection activeCell="G13" sqref="G13:I13"/>
    </sheetView>
  </sheetViews>
  <sheetFormatPr defaultRowHeight="13.5"/>
  <cols>
    <col min="1" max="1" width="1.25" customWidth="1"/>
    <col min="2" max="2" width="12.625" style="156" customWidth="1"/>
    <col min="3" max="4" width="16.625" style="156" customWidth="1"/>
    <col min="5" max="5" width="0.875" customWidth="1"/>
    <col min="6" max="6" width="11.625" style="156" customWidth="1"/>
    <col min="7" max="7" width="8.125" style="156" customWidth="1"/>
    <col min="8" max="8" width="20.625" style="156" customWidth="1"/>
    <col min="9" max="9" width="0.875" customWidth="1"/>
  </cols>
  <sheetData>
    <row r="2" spans="1:9" ht="21" customHeight="1">
      <c r="C2" s="307" t="s">
        <v>94</v>
      </c>
      <c r="D2" s="307"/>
      <c r="E2" s="307"/>
      <c r="F2" s="307"/>
      <c r="G2" s="307"/>
      <c r="H2" s="307"/>
    </row>
    <row r="3" spans="1:9" ht="15.75" customHeight="1">
      <c r="C3" s="308" t="s">
        <v>95</v>
      </c>
      <c r="D3" s="308"/>
      <c r="E3" s="308"/>
      <c r="F3" s="308"/>
      <c r="G3" s="308"/>
      <c r="H3" s="308"/>
    </row>
    <row r="4" spans="1:9" ht="6.6" customHeight="1"/>
    <row r="5" spans="1:9" ht="24.95" customHeight="1">
      <c r="A5" s="290" t="s">
        <v>287</v>
      </c>
      <c r="B5" s="290"/>
      <c r="C5" s="290"/>
      <c r="D5" s="290"/>
      <c r="E5" s="290"/>
      <c r="F5" s="290"/>
      <c r="G5" s="290"/>
      <c r="H5" s="290"/>
      <c r="I5" s="290"/>
    </row>
    <row r="6" spans="1:9" ht="14.1" customHeight="1">
      <c r="A6" s="19" t="s">
        <v>288</v>
      </c>
      <c r="B6" s="163"/>
      <c r="C6" s="157"/>
      <c r="D6" s="157"/>
      <c r="E6" s="11"/>
      <c r="F6" s="291" t="s">
        <v>97</v>
      </c>
      <c r="G6" s="291"/>
      <c r="H6" s="152" t="str">
        <f>"C"&amp;TEXT(数据源!B2,"00000000000")</f>
        <v>C00000000000</v>
      </c>
      <c r="I6" s="105"/>
    </row>
    <row r="7" spans="1:9" ht="3" customHeight="1">
      <c r="A7" s="8"/>
      <c r="B7" s="158"/>
      <c r="C7" s="158"/>
      <c r="D7" s="158"/>
      <c r="E7" s="8"/>
      <c r="F7" s="153"/>
      <c r="G7" s="153"/>
      <c r="H7" s="153"/>
      <c r="I7" s="125"/>
    </row>
    <row r="8" spans="1:9" s="156" customFormat="1" ht="16.5">
      <c r="A8" s="292" t="s">
        <v>82</v>
      </c>
      <c r="B8" s="293"/>
      <c r="C8" s="325">
        <f>数据源!G2</f>
        <v>0</v>
      </c>
      <c r="D8" s="325"/>
      <c r="E8" s="295" t="s">
        <v>108</v>
      </c>
      <c r="F8" s="295"/>
      <c r="G8" s="321">
        <f>数据源!O3</f>
        <v>0</v>
      </c>
      <c r="H8" s="321"/>
      <c r="I8" s="321"/>
    </row>
    <row r="9" spans="1:9" ht="19.5" customHeight="1">
      <c r="A9" s="296" t="s">
        <v>83</v>
      </c>
      <c r="B9" s="296"/>
      <c r="C9" s="326">
        <f>数据源!G12</f>
        <v>0</v>
      </c>
      <c r="D9" s="326"/>
      <c r="E9" s="300" t="s">
        <v>99</v>
      </c>
      <c r="F9" s="300"/>
      <c r="G9" s="324" t="str">
        <f>TEXT(数据源!B2,"00000000000")</f>
        <v>00000000000</v>
      </c>
      <c r="H9" s="324"/>
      <c r="I9" s="324"/>
    </row>
    <row r="10" spans="1:9" ht="16.5">
      <c r="A10" s="296" t="s">
        <v>84</v>
      </c>
      <c r="B10" s="296"/>
      <c r="C10" s="326">
        <f>数据源!G3</f>
        <v>0</v>
      </c>
      <c r="D10" s="326"/>
      <c r="E10" s="300" t="s">
        <v>100</v>
      </c>
      <c r="F10" s="300"/>
      <c r="G10" s="324">
        <f>数据源!O2</f>
        <v>0</v>
      </c>
      <c r="H10" s="324"/>
      <c r="I10" s="324"/>
    </row>
    <row r="11" spans="1:9" ht="19.5" customHeight="1">
      <c r="A11" s="292" t="s">
        <v>85</v>
      </c>
      <c r="B11" s="292"/>
      <c r="C11" s="326" t="str">
        <f>TEXT(数据修正!V26,"#")&amp;数据源!B20</f>
        <v/>
      </c>
      <c r="D11" s="326"/>
      <c r="E11" s="300" t="s">
        <v>101</v>
      </c>
      <c r="F11" s="300"/>
      <c r="G11" s="324">
        <f>数据源!B21</f>
        <v>0</v>
      </c>
      <c r="H11" s="324"/>
      <c r="I11" s="324"/>
    </row>
    <row r="12" spans="1:9" ht="19.5" customHeight="1">
      <c r="A12" s="292" t="s">
        <v>86</v>
      </c>
      <c r="B12" s="292"/>
      <c r="C12" s="299" t="str">
        <f>数据修正!X21</f>
        <v>0//</v>
      </c>
      <c r="D12" s="299"/>
      <c r="E12" s="300" t="s">
        <v>102</v>
      </c>
      <c r="F12" s="300"/>
      <c r="G12" s="324" t="e">
        <f>数据修正!V16</f>
        <v>#N/A</v>
      </c>
      <c r="H12" s="324"/>
      <c r="I12" s="324"/>
    </row>
    <row r="13" spans="1:9" ht="19.5" customHeight="1">
      <c r="A13" s="292" t="s">
        <v>87</v>
      </c>
      <c r="B13" s="292"/>
      <c r="C13" s="326" t="str">
        <f>数据源!G5&amp;数据修正!V1</f>
        <v>天</v>
      </c>
      <c r="D13" s="326"/>
      <c r="E13" s="300" t="s">
        <v>109</v>
      </c>
      <c r="F13" s="300"/>
      <c r="G13" s="324">
        <f>数据源!G9</f>
        <v>0</v>
      </c>
      <c r="H13" s="324"/>
      <c r="I13" s="324"/>
    </row>
    <row r="14" spans="1:9" ht="16.5">
      <c r="A14" s="296" t="s">
        <v>88</v>
      </c>
      <c r="B14" s="296"/>
      <c r="C14" s="326">
        <f>数据源!B14</f>
        <v>0</v>
      </c>
      <c r="D14" s="326"/>
      <c r="E14" s="300" t="s">
        <v>110</v>
      </c>
      <c r="F14" s="300"/>
      <c r="G14" s="324">
        <f>数据源!G8</f>
        <v>0</v>
      </c>
      <c r="H14" s="324"/>
      <c r="I14" s="324"/>
    </row>
    <row r="15" spans="1:9" ht="3" customHeight="1">
      <c r="A15" s="9"/>
      <c r="B15" s="164"/>
      <c r="C15" s="154"/>
      <c r="D15" s="154"/>
      <c r="E15" s="12"/>
      <c r="F15" s="154"/>
      <c r="G15" s="154"/>
      <c r="H15" s="154"/>
      <c r="I15" s="12"/>
    </row>
    <row r="16" spans="1:9" ht="23.25" customHeight="1">
      <c r="A16" s="311" t="s">
        <v>89</v>
      </c>
      <c r="B16" s="311"/>
      <c r="C16" s="311"/>
      <c r="D16" s="311"/>
      <c r="E16" s="311"/>
      <c r="F16" s="311"/>
      <c r="G16" s="311"/>
      <c r="H16" s="311"/>
      <c r="I16" s="311"/>
    </row>
    <row r="17" spans="1:10" ht="19.5" customHeight="1">
      <c r="A17" s="127"/>
      <c r="B17" s="128" t="s">
        <v>91</v>
      </c>
      <c r="C17" s="173" t="s">
        <v>96</v>
      </c>
      <c r="D17" s="312" t="s">
        <v>89</v>
      </c>
      <c r="E17" s="312"/>
      <c r="F17" s="128" t="s">
        <v>104</v>
      </c>
      <c r="G17" s="128" t="s">
        <v>106</v>
      </c>
      <c r="H17" s="312" t="s">
        <v>107</v>
      </c>
      <c r="I17" s="312"/>
    </row>
    <row r="18" spans="1:10" ht="16.5">
      <c r="A18" s="255"/>
      <c r="B18" s="275"/>
      <c r="C18" s="270"/>
      <c r="D18" s="270"/>
      <c r="E18" s="270"/>
      <c r="F18" s="255"/>
      <c r="G18" s="270"/>
      <c r="H18" s="270"/>
      <c r="I18" s="245"/>
    </row>
    <row r="19" spans="1:10" ht="16.5">
      <c r="A19" s="256"/>
      <c r="B19" s="255" t="s">
        <v>301</v>
      </c>
      <c r="C19" s="270"/>
      <c r="D19" s="270"/>
      <c r="E19" s="270"/>
      <c r="F19" s="255"/>
      <c r="G19" s="270"/>
      <c r="H19" s="270"/>
      <c r="I19" s="245"/>
    </row>
    <row r="20" spans="1:10" ht="0.95" customHeight="1">
      <c r="A20" s="256"/>
      <c r="B20" s="270"/>
      <c r="C20" s="270"/>
      <c r="D20" s="270"/>
      <c r="E20" s="270"/>
      <c r="F20" s="255"/>
      <c r="G20" s="270"/>
      <c r="H20" s="271"/>
      <c r="I20" s="247"/>
    </row>
    <row r="21" spans="1:10" ht="24.95" customHeight="1">
      <c r="A21" s="120" t="s">
        <v>90</v>
      </c>
      <c r="B21" s="165" t="s">
        <v>92</v>
      </c>
      <c r="C21" s="313" t="str">
        <f>数据修正!V7</f>
        <v>合格</v>
      </c>
      <c r="D21" s="313"/>
      <c r="E21" s="313"/>
      <c r="F21" s="313"/>
      <c r="G21" s="313"/>
      <c r="H21" s="313"/>
      <c r="I21" s="313"/>
    </row>
    <row r="22" spans="1:10" ht="80.25" customHeight="1">
      <c r="A22" s="122" t="s">
        <v>90</v>
      </c>
      <c r="B22" s="166" t="s">
        <v>93</v>
      </c>
      <c r="C22" s="314" t="str">
        <f>格式修正!Q5&amp;格式修正!O5&amp;格式修正!O6&amp;格式修正!O7&amp;格式修正!O8</f>
        <v xml:space="preserve">①未经本检验中心书面批准，不得复制（全文复制除外）检测报告。
</v>
      </c>
      <c r="D22" s="314"/>
      <c r="E22" s="314"/>
      <c r="F22" s="314"/>
      <c r="G22" s="314"/>
      <c r="H22" s="314"/>
      <c r="I22" s="314"/>
    </row>
    <row r="23" spans="1:10" ht="27.95" customHeight="1">
      <c r="A23" s="124"/>
      <c r="B23" s="161" t="s">
        <v>229</v>
      </c>
      <c r="C23" s="159" t="e">
        <f>数据修正!V4</f>
        <v>#N/A</v>
      </c>
      <c r="D23" s="159"/>
      <c r="E23" s="124"/>
      <c r="F23" s="161" t="s">
        <v>105</v>
      </c>
      <c r="G23" s="310" t="e">
        <f>数据修正!V5</f>
        <v>#N/A</v>
      </c>
      <c r="H23" s="310"/>
      <c r="I23" s="210"/>
      <c r="J23" s="97"/>
    </row>
    <row r="24" spans="1:10">
      <c r="A24" s="105"/>
      <c r="B24" s="155"/>
      <c r="C24" s="155"/>
      <c r="D24" s="155"/>
      <c r="E24" s="105"/>
      <c r="F24" s="155"/>
      <c r="G24" s="155"/>
      <c r="H24" s="155"/>
      <c r="I24" s="105"/>
    </row>
  </sheetData>
  <sheetProtection selectLockedCells="1"/>
  <mergeCells count="38">
    <mergeCell ref="A10:B10"/>
    <mergeCell ref="E10:F10"/>
    <mergeCell ref="A5:I5"/>
    <mergeCell ref="A8:B8"/>
    <mergeCell ref="E8:F8"/>
    <mergeCell ref="A9:B9"/>
    <mergeCell ref="E9:F9"/>
    <mergeCell ref="F6:G6"/>
    <mergeCell ref="G8:I8"/>
    <mergeCell ref="G9:I9"/>
    <mergeCell ref="G10:I10"/>
    <mergeCell ref="A11:B11"/>
    <mergeCell ref="E11:F11"/>
    <mergeCell ref="A12:B12"/>
    <mergeCell ref="E12:F12"/>
    <mergeCell ref="A13:B13"/>
    <mergeCell ref="E13:F13"/>
    <mergeCell ref="C11:D11"/>
    <mergeCell ref="C12:D12"/>
    <mergeCell ref="C13:D13"/>
    <mergeCell ref="A14:B14"/>
    <mergeCell ref="E14:F14"/>
    <mergeCell ref="A16:I16"/>
    <mergeCell ref="D17:E17"/>
    <mergeCell ref="H17:I17"/>
    <mergeCell ref="C14:D14"/>
    <mergeCell ref="G11:I11"/>
    <mergeCell ref="G12:I12"/>
    <mergeCell ref="G13:I13"/>
    <mergeCell ref="G14:I14"/>
    <mergeCell ref="G23:H23"/>
    <mergeCell ref="C21:I21"/>
    <mergeCell ref="C22:I22"/>
    <mergeCell ref="C2:H2"/>
    <mergeCell ref="C3:H3"/>
    <mergeCell ref="C8:D8"/>
    <mergeCell ref="C9:D9"/>
    <mergeCell ref="C10:D10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>
    <tabColor rgb="FF92D050"/>
  </sheetPr>
  <dimension ref="A1:M25"/>
  <sheetViews>
    <sheetView zoomScaleNormal="100" workbookViewId="0">
      <selection activeCell="G13" sqref="G13:I13"/>
    </sheetView>
  </sheetViews>
  <sheetFormatPr defaultRowHeight="13.5"/>
  <cols>
    <col min="1" max="1" width="1.25" customWidth="1"/>
    <col min="2" max="2" width="12.625" style="156" customWidth="1"/>
    <col min="3" max="4" width="16.625" style="156" customWidth="1"/>
    <col min="5" max="5" width="0.875" customWidth="1"/>
    <col min="6" max="6" width="10.625" style="156" customWidth="1"/>
    <col min="7" max="7" width="8.125" style="156" customWidth="1"/>
    <col min="8" max="8" width="21.625" style="156" customWidth="1"/>
    <col min="9" max="9" width="0.875" customWidth="1"/>
  </cols>
  <sheetData>
    <row r="1" spans="1:13" ht="13.5" customHeight="1">
      <c r="A1" s="89"/>
      <c r="D1" s="151"/>
      <c r="E1" s="89"/>
      <c r="F1" s="151"/>
      <c r="G1" s="151"/>
      <c r="H1" s="151"/>
      <c r="I1" s="89"/>
    </row>
    <row r="2" spans="1:13" ht="21" customHeight="1">
      <c r="A2" s="89"/>
      <c r="C2" s="288" t="s">
        <v>94</v>
      </c>
      <c r="D2" s="288"/>
      <c r="E2" s="288"/>
      <c r="F2" s="288"/>
      <c r="G2" s="288"/>
      <c r="H2" s="288"/>
      <c r="I2" s="89"/>
    </row>
    <row r="3" spans="1:13" ht="15.75" customHeight="1">
      <c r="A3" s="7"/>
      <c r="B3" s="151"/>
      <c r="C3" s="308" t="s">
        <v>95</v>
      </c>
      <c r="D3" s="308"/>
      <c r="E3" s="308"/>
      <c r="F3" s="308"/>
      <c r="G3" s="308"/>
      <c r="H3" s="308"/>
      <c r="I3" s="89"/>
    </row>
    <row r="4" spans="1:13" ht="6.6" customHeight="1">
      <c r="A4" s="89"/>
      <c r="B4" s="151"/>
      <c r="C4" s="10"/>
      <c r="D4" s="10"/>
      <c r="E4" s="10"/>
      <c r="F4" s="10"/>
      <c r="G4" s="10"/>
      <c r="H4" s="10"/>
      <c r="I4" s="89"/>
    </row>
    <row r="5" spans="1:13" ht="24.95" customHeight="1">
      <c r="A5" s="290" t="s">
        <v>285</v>
      </c>
      <c r="B5" s="290"/>
      <c r="C5" s="290"/>
      <c r="D5" s="290"/>
      <c r="E5" s="290"/>
      <c r="F5" s="290"/>
      <c r="G5" s="290"/>
      <c r="H5" s="290"/>
      <c r="I5" s="290"/>
    </row>
    <row r="6" spans="1:13" ht="14.1" customHeight="1">
      <c r="A6" s="19" t="s">
        <v>286</v>
      </c>
      <c r="B6" s="163"/>
      <c r="C6" s="157"/>
      <c r="D6" s="157"/>
      <c r="E6" s="11"/>
      <c r="F6" s="291" t="s">
        <v>97</v>
      </c>
      <c r="G6" s="291"/>
      <c r="H6" s="152" t="str">
        <f>"C"&amp;TEXT(数据源!B2,"00000000000")</f>
        <v>C00000000000</v>
      </c>
      <c r="I6" s="14"/>
    </row>
    <row r="7" spans="1:13" ht="3" customHeight="1">
      <c r="A7" s="8"/>
      <c r="B7" s="158"/>
      <c r="C7" s="158"/>
      <c r="D7" s="158"/>
      <c r="E7" s="8"/>
      <c r="F7" s="174"/>
      <c r="G7" s="153"/>
      <c r="H7" s="153"/>
      <c r="I7" s="125"/>
      <c r="M7" s="17"/>
    </row>
    <row r="8" spans="1:13" s="156" customFormat="1" ht="16.5">
      <c r="A8" s="155"/>
      <c r="B8" s="263" t="s">
        <v>82</v>
      </c>
      <c r="C8" s="309">
        <f>数据源!G2</f>
        <v>0</v>
      </c>
      <c r="D8" s="309"/>
      <c r="E8" s="295" t="s">
        <v>98</v>
      </c>
      <c r="F8" s="295"/>
      <c r="G8" s="309">
        <f>数据源!O3</f>
        <v>0</v>
      </c>
      <c r="H8" s="309"/>
      <c r="I8" s="309"/>
      <c r="M8" s="264"/>
    </row>
    <row r="9" spans="1:13" ht="19.5" customHeight="1">
      <c r="A9" s="105"/>
      <c r="B9" s="263" t="s">
        <v>83</v>
      </c>
      <c r="C9" s="299">
        <f>数据源!G12</f>
        <v>0</v>
      </c>
      <c r="D9" s="299"/>
      <c r="E9" s="300" t="s">
        <v>99</v>
      </c>
      <c r="F9" s="300"/>
      <c r="G9" s="299" t="str">
        <f>TEXT(数据源!B2,"00000000000")</f>
        <v>00000000000</v>
      </c>
      <c r="H9" s="299"/>
      <c r="I9" s="299"/>
      <c r="M9" s="17"/>
    </row>
    <row r="10" spans="1:13" ht="16.5">
      <c r="A10" s="105"/>
      <c r="B10" s="263" t="s">
        <v>84</v>
      </c>
      <c r="C10" s="299">
        <f>数据源!G3</f>
        <v>0</v>
      </c>
      <c r="D10" s="299"/>
      <c r="E10" s="300" t="s">
        <v>100</v>
      </c>
      <c r="F10" s="300"/>
      <c r="G10" s="299">
        <f>数据源!O2</f>
        <v>0</v>
      </c>
      <c r="H10" s="299"/>
      <c r="I10" s="299"/>
      <c r="M10" s="17"/>
    </row>
    <row r="11" spans="1:13" ht="19.5" customHeight="1">
      <c r="A11" s="105"/>
      <c r="B11" s="263" t="s">
        <v>85</v>
      </c>
      <c r="C11" s="299" t="str">
        <f>TEXT(数据修正!V26,"#")&amp;数据源!B20</f>
        <v/>
      </c>
      <c r="D11" s="299"/>
      <c r="E11" s="300" t="s">
        <v>101</v>
      </c>
      <c r="F11" s="300"/>
      <c r="G11" s="299">
        <f>数据源!B21</f>
        <v>0</v>
      </c>
      <c r="H11" s="299"/>
      <c r="I11" s="299"/>
      <c r="M11" s="17"/>
    </row>
    <row r="12" spans="1:13" ht="19.5" customHeight="1">
      <c r="A12" s="105"/>
      <c r="B12" s="263" t="s">
        <v>86</v>
      </c>
      <c r="C12" s="299" t="str">
        <f>数据修正!X21</f>
        <v>0//</v>
      </c>
      <c r="D12" s="299"/>
      <c r="E12" s="300" t="s">
        <v>102</v>
      </c>
      <c r="F12" s="300"/>
      <c r="G12" s="299" t="e">
        <f>数据修正!V16</f>
        <v>#N/A</v>
      </c>
      <c r="H12" s="299"/>
      <c r="I12" s="299"/>
      <c r="M12" s="96"/>
    </row>
    <row r="13" spans="1:13" ht="19.5" customHeight="1">
      <c r="A13" s="105"/>
      <c r="B13" s="263" t="s">
        <v>87</v>
      </c>
      <c r="C13" s="299" t="str">
        <f>数据源!G5&amp;数据修正!V1</f>
        <v>天</v>
      </c>
      <c r="D13" s="299"/>
      <c r="E13" s="300" t="s">
        <v>103</v>
      </c>
      <c r="F13" s="300"/>
      <c r="G13" s="299">
        <f>数据源!G7</f>
        <v>0</v>
      </c>
      <c r="H13" s="299"/>
      <c r="I13" s="299"/>
      <c r="M13" s="96"/>
    </row>
    <row r="14" spans="1:13" ht="16.5">
      <c r="A14" s="105"/>
      <c r="B14" s="263" t="s">
        <v>88</v>
      </c>
      <c r="C14" s="299">
        <f>数据源!B14</f>
        <v>0</v>
      </c>
      <c r="D14" s="299"/>
      <c r="E14" s="300" t="s">
        <v>182</v>
      </c>
      <c r="F14" s="300"/>
      <c r="G14" s="299" t="str">
        <f>TEXT(数据源!B4,"##############")&amp;数据源!B5</f>
        <v/>
      </c>
      <c r="H14" s="299"/>
      <c r="I14" s="299"/>
    </row>
    <row r="15" spans="1:13" ht="3" customHeight="1">
      <c r="A15" s="9"/>
      <c r="B15" s="164"/>
      <c r="C15" s="154"/>
      <c r="D15" s="154"/>
      <c r="E15" s="12"/>
      <c r="F15" s="154"/>
      <c r="G15" s="154"/>
      <c r="H15" s="154"/>
      <c r="I15" s="12"/>
    </row>
    <row r="16" spans="1:13" ht="23.25" customHeight="1">
      <c r="A16" s="311" t="s">
        <v>89</v>
      </c>
      <c r="B16" s="311"/>
      <c r="C16" s="311"/>
      <c r="D16" s="311"/>
      <c r="E16" s="311"/>
      <c r="F16" s="311"/>
      <c r="G16" s="311"/>
      <c r="H16" s="311"/>
      <c r="I16" s="311"/>
    </row>
    <row r="17" spans="1:9" ht="19.5" customHeight="1">
      <c r="A17" s="127"/>
      <c r="B17" s="128" t="s">
        <v>91</v>
      </c>
      <c r="C17" s="173" t="s">
        <v>96</v>
      </c>
      <c r="D17" s="312" t="s">
        <v>89</v>
      </c>
      <c r="E17" s="312"/>
      <c r="F17" s="128" t="s">
        <v>104</v>
      </c>
      <c r="G17" s="128" t="s">
        <v>106</v>
      </c>
      <c r="H17" s="312" t="s">
        <v>107</v>
      </c>
      <c r="I17" s="312"/>
    </row>
    <row r="18" spans="1:9" ht="16.5">
      <c r="A18" s="255"/>
      <c r="B18" s="275"/>
      <c r="C18" s="270"/>
      <c r="D18" s="270"/>
      <c r="E18" s="270"/>
      <c r="F18" s="255"/>
      <c r="G18" s="270"/>
      <c r="H18" s="270"/>
      <c r="I18" s="245"/>
    </row>
    <row r="19" spans="1:9" ht="16.5">
      <c r="A19" s="256"/>
      <c r="B19" s="255" t="s">
        <v>301</v>
      </c>
      <c r="C19" s="270"/>
      <c r="D19" s="270"/>
      <c r="E19" s="270"/>
      <c r="F19" s="255"/>
      <c r="G19" s="270"/>
      <c r="H19" s="270"/>
      <c r="I19" s="245"/>
    </row>
    <row r="20" spans="1:9" ht="0.95" customHeight="1">
      <c r="A20" s="256"/>
      <c r="B20" s="270"/>
      <c r="C20" s="270"/>
      <c r="D20" s="271"/>
      <c r="E20" s="271"/>
      <c r="F20" s="255"/>
      <c r="G20" s="270"/>
      <c r="H20" s="271"/>
      <c r="I20" s="247"/>
    </row>
    <row r="21" spans="1:9" ht="24.95" customHeight="1">
      <c r="A21" s="120" t="s">
        <v>90</v>
      </c>
      <c r="B21" s="165" t="s">
        <v>92</v>
      </c>
      <c r="C21" s="313" t="str">
        <f>数据修正!V7</f>
        <v>合格</v>
      </c>
      <c r="D21" s="313"/>
      <c r="E21" s="313"/>
      <c r="F21" s="313"/>
      <c r="G21" s="313"/>
      <c r="H21" s="313"/>
      <c r="I21" s="313"/>
    </row>
    <row r="22" spans="1:9" ht="27.4" customHeight="1">
      <c r="A22" s="327" t="s">
        <v>218</v>
      </c>
      <c r="B22" s="329" t="s">
        <v>93</v>
      </c>
      <c r="C22" s="331" t="str">
        <f>格式修正!Q5&amp;格式修正!S6&amp;格式修正!S7</f>
        <v xml:space="preserve">①未经本检验中心书面批准，不得复制（全文复制除外）检测报告。
</v>
      </c>
      <c r="D22" s="331"/>
      <c r="E22" s="331"/>
      <c r="F22" s="331"/>
      <c r="G22" s="331"/>
      <c r="H22" s="331"/>
      <c r="I22" s="331"/>
    </row>
    <row r="23" spans="1:9" ht="13.9" customHeight="1">
      <c r="A23" s="328"/>
      <c r="B23" s="330"/>
      <c r="C23" s="332"/>
      <c r="D23" s="332"/>
      <c r="E23" s="332"/>
      <c r="F23" s="332"/>
      <c r="G23" s="332"/>
      <c r="H23" s="332"/>
      <c r="I23" s="332"/>
    </row>
    <row r="24" spans="1:9" ht="27.95" customHeight="1">
      <c r="A24" s="211"/>
      <c r="B24" s="161" t="s">
        <v>230</v>
      </c>
      <c r="C24" s="159" t="e">
        <f>数据修正!V4</f>
        <v>#N/A</v>
      </c>
      <c r="D24" s="212"/>
      <c r="E24" s="211"/>
      <c r="F24" s="161" t="s">
        <v>183</v>
      </c>
      <c r="G24" s="310" t="e">
        <f>数据修正!V5</f>
        <v>#N/A</v>
      </c>
      <c r="H24" s="310"/>
      <c r="I24" s="211"/>
    </row>
    <row r="25" spans="1:9">
      <c r="A25" s="105"/>
      <c r="B25" s="155"/>
      <c r="C25" s="155"/>
      <c r="D25" s="155"/>
      <c r="E25" s="105"/>
      <c r="F25" s="155"/>
      <c r="G25" s="155"/>
      <c r="H25" s="155"/>
      <c r="I25" s="105"/>
    </row>
  </sheetData>
  <sheetProtection selectLockedCells="1"/>
  <mergeCells count="33">
    <mergeCell ref="C21:I21"/>
    <mergeCell ref="B22:B23"/>
    <mergeCell ref="C22:I23"/>
    <mergeCell ref="G13:I13"/>
    <mergeCell ref="G12:I12"/>
    <mergeCell ref="C10:D10"/>
    <mergeCell ref="C11:D11"/>
    <mergeCell ref="C12:D12"/>
    <mergeCell ref="C13:D13"/>
    <mergeCell ref="C14:D14"/>
    <mergeCell ref="C2:H2"/>
    <mergeCell ref="C3:H3"/>
    <mergeCell ref="A5:I5"/>
    <mergeCell ref="F6:G6"/>
    <mergeCell ref="E8:F8"/>
    <mergeCell ref="G8:I8"/>
    <mergeCell ref="C8:D8"/>
    <mergeCell ref="G9:I9"/>
    <mergeCell ref="H17:I17"/>
    <mergeCell ref="G14:I14"/>
    <mergeCell ref="G11:I11"/>
    <mergeCell ref="G24:H24"/>
    <mergeCell ref="A16:I16"/>
    <mergeCell ref="D17:E17"/>
    <mergeCell ref="E9:F9"/>
    <mergeCell ref="E10:F10"/>
    <mergeCell ref="E11:F11"/>
    <mergeCell ref="E12:F12"/>
    <mergeCell ref="E13:F13"/>
    <mergeCell ref="E14:F14"/>
    <mergeCell ref="G10:I10"/>
    <mergeCell ref="A22:A23"/>
    <mergeCell ref="C9:D9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>
    <tabColor rgb="FF92D050"/>
  </sheetPr>
  <dimension ref="A2:J24"/>
  <sheetViews>
    <sheetView showWhiteSpace="0" zoomScaleNormal="100" workbookViewId="0">
      <selection activeCell="C14" sqref="C14:I14"/>
    </sheetView>
  </sheetViews>
  <sheetFormatPr defaultRowHeight="13.5"/>
  <cols>
    <col min="1" max="1" width="1.25" customWidth="1"/>
    <col min="2" max="2" width="12.625" style="156" customWidth="1"/>
    <col min="3" max="4" width="16.625" style="156" customWidth="1"/>
    <col min="5" max="5" width="0.875" customWidth="1"/>
    <col min="6" max="6" width="10.625" style="156" customWidth="1"/>
    <col min="7" max="7" width="8.125" style="156" customWidth="1"/>
    <col min="8" max="8" width="21.625" style="156" customWidth="1"/>
    <col min="9" max="9" width="0.875" customWidth="1"/>
  </cols>
  <sheetData>
    <row r="2" spans="1:10" ht="21" customHeight="1">
      <c r="C2" s="307" t="s">
        <v>94</v>
      </c>
      <c r="D2" s="307"/>
      <c r="E2" s="307"/>
      <c r="F2" s="307"/>
      <c r="G2" s="307"/>
      <c r="H2" s="307"/>
    </row>
    <row r="3" spans="1:10" ht="15.75" customHeight="1">
      <c r="C3" s="308" t="s">
        <v>95</v>
      </c>
      <c r="D3" s="308"/>
      <c r="E3" s="308"/>
      <c r="F3" s="308"/>
      <c r="G3" s="308"/>
      <c r="H3" s="308"/>
    </row>
    <row r="4" spans="1:10" ht="3.2" customHeight="1"/>
    <row r="5" spans="1:10" ht="3.2" customHeight="1"/>
    <row r="6" spans="1:10" ht="24.95" customHeight="1">
      <c r="A6" s="290" t="s">
        <v>283</v>
      </c>
      <c r="B6" s="290"/>
      <c r="C6" s="290"/>
      <c r="D6" s="290"/>
      <c r="E6" s="290"/>
      <c r="F6" s="290"/>
      <c r="G6" s="290"/>
      <c r="H6" s="290"/>
      <c r="I6" s="290"/>
    </row>
    <row r="7" spans="1:10" ht="14.1" customHeight="1">
      <c r="A7" s="135" t="s">
        <v>284</v>
      </c>
      <c r="B7" s="175"/>
      <c r="C7" s="176"/>
      <c r="D7" s="157"/>
      <c r="E7" s="11"/>
      <c r="F7" s="291" t="s">
        <v>97</v>
      </c>
      <c r="G7" s="291"/>
      <c r="H7" s="336" t="str">
        <f>"W"&amp;TEXT(数据源!B2,"00000000000")</f>
        <v>W00000000000</v>
      </c>
      <c r="I7" s="336"/>
      <c r="J7" s="97"/>
    </row>
    <row r="8" spans="1:10" ht="3" customHeight="1">
      <c r="A8" s="8"/>
      <c r="B8" s="158"/>
      <c r="C8" s="158"/>
      <c r="D8" s="158"/>
      <c r="E8" s="8"/>
      <c r="F8" s="153"/>
      <c r="G8" s="153"/>
      <c r="H8" s="153"/>
      <c r="I8" s="125"/>
    </row>
    <row r="9" spans="1:10" s="156" customFormat="1" ht="16.5">
      <c r="A9" s="335" t="s">
        <v>112</v>
      </c>
      <c r="B9" s="335"/>
      <c r="C9" s="333">
        <f>数据源!G11</f>
        <v>0</v>
      </c>
      <c r="D9" s="309"/>
      <c r="E9" s="295" t="s">
        <v>108</v>
      </c>
      <c r="F9" s="295"/>
      <c r="G9" s="309">
        <f>数据源!O4</f>
        <v>0</v>
      </c>
      <c r="H9" s="309"/>
      <c r="I9" s="309"/>
    </row>
    <row r="10" spans="1:10" ht="19.5" customHeight="1">
      <c r="A10" s="296" t="s">
        <v>303</v>
      </c>
      <c r="B10" s="296"/>
      <c r="C10" s="334">
        <f>数据源!B3</f>
        <v>0</v>
      </c>
      <c r="D10" s="299"/>
      <c r="E10" s="300" t="s">
        <v>99</v>
      </c>
      <c r="F10" s="300"/>
      <c r="G10" s="299" t="str">
        <f>TEXT(数据源!B2,"00000000000")</f>
        <v>00000000000</v>
      </c>
      <c r="H10" s="299"/>
      <c r="I10" s="299"/>
    </row>
    <row r="11" spans="1:10" ht="19.5" hidden="1" customHeight="1">
      <c r="A11" s="300"/>
      <c r="B11" s="300"/>
      <c r="C11" s="299"/>
      <c r="D11" s="299"/>
      <c r="E11" s="300"/>
      <c r="F11" s="300"/>
      <c r="G11" s="299"/>
      <c r="H11" s="299"/>
      <c r="I11" s="299"/>
    </row>
    <row r="12" spans="1:10" ht="19.5" customHeight="1">
      <c r="A12" s="292" t="s">
        <v>85</v>
      </c>
      <c r="B12" s="292"/>
      <c r="C12" s="299" t="str">
        <f>TEXT(数据源!B19,"#.0")&amp;数据源!B20</f>
        <v>.0</v>
      </c>
      <c r="D12" s="299"/>
      <c r="E12" s="300" t="s">
        <v>101</v>
      </c>
      <c r="F12" s="300"/>
      <c r="G12" s="299">
        <f>数据源!B21</f>
        <v>0</v>
      </c>
      <c r="H12" s="299"/>
      <c r="I12" s="299"/>
    </row>
    <row r="13" spans="1:10" ht="19.5" customHeight="1">
      <c r="A13" s="301" t="s">
        <v>86</v>
      </c>
      <c r="B13" s="301"/>
      <c r="C13" s="299" t="str">
        <f>LEFT(数据修正!V21,4)&amp;"/"&amp;MID(数据修正!V21,5,2)&amp;"/"&amp;MID(数据修正!V21,7,2)</f>
        <v>0//</v>
      </c>
      <c r="D13" s="299"/>
      <c r="E13" s="300" t="s">
        <v>102</v>
      </c>
      <c r="F13" s="300"/>
      <c r="G13" s="299" t="e">
        <f>数据修正!V2</f>
        <v>#N/A</v>
      </c>
      <c r="H13" s="299"/>
      <c r="I13" s="299"/>
    </row>
    <row r="14" spans="1:10" ht="18" customHeight="1">
      <c r="A14" s="335" t="s">
        <v>111</v>
      </c>
      <c r="B14" s="335"/>
      <c r="C14" s="309">
        <f>数据源!B14</f>
        <v>0</v>
      </c>
      <c r="D14" s="309"/>
      <c r="E14" s="309"/>
      <c r="F14" s="309"/>
      <c r="G14" s="309"/>
      <c r="H14" s="309"/>
      <c r="I14" s="309"/>
    </row>
    <row r="15" spans="1:10" ht="3" customHeight="1">
      <c r="A15" s="9"/>
      <c r="B15" s="164"/>
      <c r="C15" s="157"/>
      <c r="D15" s="154"/>
      <c r="E15" s="12"/>
      <c r="F15" s="154"/>
      <c r="G15" s="154"/>
      <c r="H15" s="154"/>
      <c r="I15" s="12"/>
    </row>
    <row r="16" spans="1:10" ht="23.25" customHeight="1">
      <c r="A16" s="311" t="s">
        <v>89</v>
      </c>
      <c r="B16" s="311"/>
      <c r="C16" s="311"/>
      <c r="D16" s="311"/>
      <c r="E16" s="311"/>
      <c r="F16" s="311"/>
      <c r="G16" s="311"/>
      <c r="H16" s="311"/>
      <c r="I16" s="311"/>
    </row>
    <row r="17" spans="1:9" ht="19.5" customHeight="1">
      <c r="A17" s="127"/>
      <c r="B17" s="128" t="s">
        <v>91</v>
      </c>
      <c r="C17" s="173" t="s">
        <v>96</v>
      </c>
      <c r="D17" s="312" t="s">
        <v>89</v>
      </c>
      <c r="E17" s="312"/>
      <c r="F17" s="128" t="s">
        <v>104</v>
      </c>
      <c r="G17" s="128" t="s">
        <v>106</v>
      </c>
      <c r="H17" s="312" t="s">
        <v>107</v>
      </c>
      <c r="I17" s="312"/>
    </row>
    <row r="18" spans="1:9" ht="16.5">
      <c r="A18" s="255"/>
      <c r="B18" s="275"/>
      <c r="C18" s="270"/>
      <c r="D18" s="270"/>
      <c r="E18" s="270"/>
      <c r="F18" s="255"/>
      <c r="G18" s="270"/>
      <c r="H18" s="270"/>
      <c r="I18" s="245"/>
    </row>
    <row r="19" spans="1:9" ht="16.5">
      <c r="A19" s="256"/>
      <c r="B19" s="255" t="s">
        <v>301</v>
      </c>
      <c r="C19" s="270"/>
      <c r="D19" s="270"/>
      <c r="E19" s="270"/>
      <c r="F19" s="255"/>
      <c r="G19" s="270"/>
      <c r="H19" s="270"/>
      <c r="I19" s="245"/>
    </row>
    <row r="20" spans="1:9" ht="0.95" customHeight="1">
      <c r="A20" s="256"/>
      <c r="B20" s="270"/>
      <c r="C20" s="270"/>
      <c r="D20" s="271"/>
      <c r="E20" s="271"/>
      <c r="F20" s="255"/>
      <c r="G20" s="270"/>
      <c r="H20" s="271"/>
      <c r="I20" s="247"/>
    </row>
    <row r="21" spans="1:9" ht="24.95" customHeight="1">
      <c r="A21" s="120" t="s">
        <v>90</v>
      </c>
      <c r="B21" s="165" t="s">
        <v>92</v>
      </c>
      <c r="C21" s="313" t="str">
        <f>数据修正!V7</f>
        <v>合格</v>
      </c>
      <c r="D21" s="313"/>
      <c r="E21" s="313"/>
      <c r="F21" s="313"/>
      <c r="G21" s="313"/>
      <c r="H21" s="313"/>
      <c r="I21" s="313"/>
    </row>
    <row r="22" spans="1:9" ht="69" customHeight="1">
      <c r="A22" s="122" t="s">
        <v>90</v>
      </c>
      <c r="B22" s="166" t="s">
        <v>93</v>
      </c>
      <c r="C22" s="314" t="str">
        <f>格式修正!Q5&amp;格式修正!S6&amp;格式修正!S7</f>
        <v xml:space="preserve">①未经本检验中心书面批准，不得复制（全文复制除外）检测报告。
</v>
      </c>
      <c r="D22" s="314"/>
      <c r="E22" s="314"/>
      <c r="F22" s="314"/>
      <c r="G22" s="314"/>
      <c r="H22" s="314"/>
      <c r="I22" s="314"/>
    </row>
    <row r="23" spans="1:9" ht="27.95" customHeight="1">
      <c r="A23" s="124"/>
      <c r="B23" s="161" t="s">
        <v>229</v>
      </c>
      <c r="C23" s="159" t="e">
        <f>数据修正!V4</f>
        <v>#N/A</v>
      </c>
      <c r="D23" s="159"/>
      <c r="E23" s="124"/>
      <c r="F23" s="161" t="s">
        <v>105</v>
      </c>
      <c r="G23" s="310" t="e">
        <f>数据修正!V5</f>
        <v>#N/A</v>
      </c>
      <c r="H23" s="310"/>
      <c r="I23" s="210"/>
    </row>
    <row r="24" spans="1:9">
      <c r="A24" s="105"/>
      <c r="B24" s="155"/>
      <c r="C24" s="155"/>
      <c r="D24" s="155"/>
      <c r="E24" s="105"/>
      <c r="F24" s="155"/>
      <c r="G24" s="155"/>
      <c r="H24" s="155"/>
      <c r="I24" s="105"/>
    </row>
  </sheetData>
  <sheetProtection selectLockedCells="1"/>
  <mergeCells count="33">
    <mergeCell ref="G9:I9"/>
    <mergeCell ref="H7:I7"/>
    <mergeCell ref="G10:I10"/>
    <mergeCell ref="G11:I11"/>
    <mergeCell ref="G12:I12"/>
    <mergeCell ref="F7:G7"/>
    <mergeCell ref="E12:F12"/>
    <mergeCell ref="C22:I22"/>
    <mergeCell ref="C21:I21"/>
    <mergeCell ref="A16:I16"/>
    <mergeCell ref="D17:E17"/>
    <mergeCell ref="H17:I17"/>
    <mergeCell ref="A13:B13"/>
    <mergeCell ref="E13:F13"/>
    <mergeCell ref="A14:B14"/>
    <mergeCell ref="G13:I13"/>
    <mergeCell ref="C14:I14"/>
    <mergeCell ref="G23:H23"/>
    <mergeCell ref="C2:H2"/>
    <mergeCell ref="C3:H3"/>
    <mergeCell ref="C9:D9"/>
    <mergeCell ref="C10:D10"/>
    <mergeCell ref="C11:D11"/>
    <mergeCell ref="C12:D12"/>
    <mergeCell ref="C13:D13"/>
    <mergeCell ref="A6:I6"/>
    <mergeCell ref="A9:B9"/>
    <mergeCell ref="E9:F9"/>
    <mergeCell ref="A10:B10"/>
    <mergeCell ref="E10:F10"/>
    <mergeCell ref="A11:B11"/>
    <mergeCell ref="E11:F11"/>
    <mergeCell ref="A12:B1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>
    <tabColor theme="5" tint="0.39997558519241921"/>
  </sheetPr>
  <dimension ref="A2:I24"/>
  <sheetViews>
    <sheetView showWhiteSpace="0" zoomScaleNormal="100" workbookViewId="0">
      <selection activeCell="G9" sqref="G9:I13"/>
    </sheetView>
  </sheetViews>
  <sheetFormatPr defaultRowHeight="13.5"/>
  <cols>
    <col min="1" max="1" width="1.25" style="97" customWidth="1"/>
    <col min="2" max="2" width="12.625" style="156" customWidth="1"/>
    <col min="3" max="4" width="16.625" style="156" customWidth="1"/>
    <col min="5" max="5" width="0.875" style="97" customWidth="1"/>
    <col min="6" max="6" width="10.625" style="156" customWidth="1"/>
    <col min="7" max="7" width="8.125" style="156" customWidth="1"/>
    <col min="8" max="8" width="21.625" style="156" customWidth="1"/>
    <col min="9" max="9" width="0.875" style="97" customWidth="1"/>
    <col min="10" max="16384" width="9" style="97"/>
  </cols>
  <sheetData>
    <row r="2" spans="1:9" ht="21" customHeight="1">
      <c r="C2" s="307" t="s">
        <v>253</v>
      </c>
      <c r="D2" s="307"/>
      <c r="E2" s="307"/>
      <c r="F2" s="307"/>
      <c r="G2" s="307"/>
      <c r="H2" s="307"/>
    </row>
    <row r="3" spans="1:9" ht="15.75" customHeight="1">
      <c r="C3" s="308" t="s">
        <v>252</v>
      </c>
      <c r="D3" s="308"/>
      <c r="E3" s="308"/>
      <c r="F3" s="308"/>
      <c r="G3" s="308"/>
      <c r="H3" s="308"/>
    </row>
    <row r="4" spans="1:9" ht="3.2" customHeight="1"/>
    <row r="5" spans="1:9" ht="3.2" customHeight="1"/>
    <row r="6" spans="1:9" ht="24.95" customHeight="1">
      <c r="A6" s="290" t="s">
        <v>298</v>
      </c>
      <c r="B6" s="290"/>
      <c r="C6" s="290"/>
      <c r="D6" s="290"/>
      <c r="E6" s="290"/>
      <c r="F6" s="290"/>
      <c r="G6" s="290"/>
      <c r="H6" s="290"/>
      <c r="I6" s="290"/>
    </row>
    <row r="7" spans="1:9" ht="14.1" customHeight="1">
      <c r="A7" s="135" t="s">
        <v>297</v>
      </c>
      <c r="B7" s="175"/>
      <c r="C7" s="176"/>
      <c r="D7" s="157"/>
      <c r="E7" s="11"/>
      <c r="F7" s="291" t="s">
        <v>97</v>
      </c>
      <c r="G7" s="291"/>
      <c r="H7" s="336" t="str">
        <f>"W"&amp;TEXT(数据源!B2,"00000000000")</f>
        <v>W00000000000</v>
      </c>
      <c r="I7" s="336"/>
    </row>
    <row r="8" spans="1:9" ht="3" customHeight="1">
      <c r="A8" s="8"/>
      <c r="B8" s="158"/>
      <c r="C8" s="158"/>
      <c r="D8" s="158"/>
      <c r="E8" s="8"/>
      <c r="F8" s="153"/>
      <c r="G8" s="153"/>
      <c r="H8" s="153"/>
      <c r="I8" s="125"/>
    </row>
    <row r="9" spans="1:9" ht="16.5">
      <c r="A9" s="337" t="s">
        <v>112</v>
      </c>
      <c r="B9" s="337"/>
      <c r="C9" s="333">
        <f>数据源!G11</f>
        <v>0</v>
      </c>
      <c r="D9" s="309"/>
      <c r="E9" s="300" t="s">
        <v>108</v>
      </c>
      <c r="F9" s="300"/>
      <c r="G9" s="299">
        <f>数据源!O4</f>
        <v>0</v>
      </c>
      <c r="H9" s="299"/>
      <c r="I9" s="299"/>
    </row>
    <row r="10" spans="1:9" ht="19.5" customHeight="1">
      <c r="A10" s="296" t="s">
        <v>304</v>
      </c>
      <c r="B10" s="296"/>
      <c r="C10" s="334">
        <f>数据源!B3</f>
        <v>0</v>
      </c>
      <c r="D10" s="299"/>
      <c r="E10" s="300" t="s">
        <v>99</v>
      </c>
      <c r="F10" s="300"/>
      <c r="G10" s="299" t="str">
        <f>TEXT(数据源!B2,"00000000000")</f>
        <v>00000000000</v>
      </c>
      <c r="H10" s="299"/>
      <c r="I10" s="299"/>
    </row>
    <row r="11" spans="1:9" ht="19.5" hidden="1" customHeight="1">
      <c r="A11" s="300"/>
      <c r="B11" s="300"/>
      <c r="C11" s="299"/>
      <c r="D11" s="299"/>
      <c r="E11" s="300"/>
      <c r="F11" s="300"/>
      <c r="G11" s="299"/>
      <c r="H11" s="299"/>
      <c r="I11" s="299"/>
    </row>
    <row r="12" spans="1:9" ht="19.5" customHeight="1">
      <c r="A12" s="292" t="s">
        <v>85</v>
      </c>
      <c r="B12" s="292"/>
      <c r="C12" s="299" t="str">
        <f>TEXT(数据源!B19,"#.0")&amp;数据源!B20</f>
        <v>.0</v>
      </c>
      <c r="D12" s="299"/>
      <c r="E12" s="300" t="s">
        <v>101</v>
      </c>
      <c r="F12" s="300"/>
      <c r="G12" s="299">
        <f>数据源!B21</f>
        <v>0</v>
      </c>
      <c r="H12" s="299"/>
      <c r="I12" s="299"/>
    </row>
    <row r="13" spans="1:9" ht="19.5" customHeight="1">
      <c r="A13" s="301" t="s">
        <v>86</v>
      </c>
      <c r="B13" s="301"/>
      <c r="C13" s="299" t="str">
        <f>LEFT(数据源!B18,4)&amp;"/"&amp;MID(数据源!B18,5,2)&amp;"/"&amp;MID(数据源!B18,7,2)</f>
        <v>//</v>
      </c>
      <c r="D13" s="299"/>
      <c r="E13" s="300" t="s">
        <v>102</v>
      </c>
      <c r="F13" s="300"/>
      <c r="G13" s="299" t="e">
        <f>数据修正!V2</f>
        <v>#N/A</v>
      </c>
      <c r="H13" s="299"/>
      <c r="I13" s="299"/>
    </row>
    <row r="14" spans="1:9" ht="18" customHeight="1">
      <c r="A14" s="335" t="s">
        <v>111</v>
      </c>
      <c r="B14" s="335"/>
      <c r="C14" s="321">
        <f>数据源!B14</f>
        <v>0</v>
      </c>
      <c r="D14" s="321"/>
      <c r="E14" s="321"/>
      <c r="F14" s="321"/>
      <c r="G14" s="321"/>
      <c r="H14" s="321"/>
      <c r="I14" s="321"/>
    </row>
    <row r="15" spans="1:9" ht="3" customHeight="1">
      <c r="A15" s="9"/>
      <c r="B15" s="164"/>
      <c r="C15" s="157"/>
      <c r="D15" s="154"/>
      <c r="E15" s="12"/>
      <c r="F15" s="154"/>
      <c r="G15" s="154"/>
      <c r="H15" s="154"/>
      <c r="I15" s="12"/>
    </row>
    <row r="16" spans="1:9" ht="23.25" customHeight="1">
      <c r="A16" s="311" t="s">
        <v>89</v>
      </c>
      <c r="B16" s="311"/>
      <c r="C16" s="311"/>
      <c r="D16" s="311"/>
      <c r="E16" s="311"/>
      <c r="F16" s="311"/>
      <c r="G16" s="311"/>
      <c r="H16" s="311"/>
      <c r="I16" s="311"/>
    </row>
    <row r="17" spans="1:9" ht="19.5" customHeight="1">
      <c r="A17" s="127"/>
      <c r="B17" s="128" t="s">
        <v>91</v>
      </c>
      <c r="C17" s="173" t="s">
        <v>96</v>
      </c>
      <c r="D17" s="312" t="s">
        <v>89</v>
      </c>
      <c r="E17" s="312"/>
      <c r="F17" s="128" t="s">
        <v>104</v>
      </c>
      <c r="G17" s="128" t="s">
        <v>106</v>
      </c>
      <c r="H17" s="312" t="s">
        <v>107</v>
      </c>
      <c r="I17" s="312"/>
    </row>
    <row r="18" spans="1:9" ht="16.5">
      <c r="A18" s="255"/>
      <c r="B18" s="275"/>
      <c r="C18" s="270"/>
      <c r="D18" s="270"/>
      <c r="E18" s="270"/>
      <c r="F18" s="255"/>
      <c r="G18" s="270"/>
      <c r="H18" s="270"/>
      <c r="I18" s="245"/>
    </row>
    <row r="19" spans="1:9" ht="16.5">
      <c r="A19" s="256"/>
      <c r="B19" s="255" t="s">
        <v>301</v>
      </c>
      <c r="C19" s="270"/>
      <c r="D19" s="270"/>
      <c r="E19" s="270"/>
      <c r="F19" s="255"/>
      <c r="G19" s="270"/>
      <c r="H19" s="270"/>
      <c r="I19" s="245"/>
    </row>
    <row r="20" spans="1:9" ht="0.95" customHeight="1">
      <c r="A20" s="256"/>
      <c r="B20" s="270"/>
      <c r="C20" s="270"/>
      <c r="D20" s="271"/>
      <c r="E20" s="271"/>
      <c r="F20" s="255"/>
      <c r="G20" s="270"/>
      <c r="H20" s="271"/>
      <c r="I20" s="247"/>
    </row>
    <row r="21" spans="1:9" ht="24.95" customHeight="1">
      <c r="A21" s="120" t="s">
        <v>90</v>
      </c>
      <c r="B21" s="165" t="s">
        <v>92</v>
      </c>
      <c r="C21" s="313" t="str">
        <f>数据修正!V7</f>
        <v>合格</v>
      </c>
      <c r="D21" s="313"/>
      <c r="E21" s="313"/>
      <c r="F21" s="313"/>
      <c r="G21" s="313"/>
      <c r="H21" s="313"/>
      <c r="I21" s="313"/>
    </row>
    <row r="22" spans="1:9" ht="69" customHeight="1">
      <c r="A22" s="122" t="s">
        <v>90</v>
      </c>
      <c r="B22" s="240" t="s">
        <v>93</v>
      </c>
      <c r="C22" s="314" t="str">
        <f>格式修正!Q5&amp;格式修正!S6&amp;格式修正!S7</f>
        <v xml:space="preserve">①未经本检验中心书面批准，不得复制（全文复制除外）检测报告。
</v>
      </c>
      <c r="D22" s="314"/>
      <c r="E22" s="314"/>
      <c r="F22" s="314"/>
      <c r="G22" s="314"/>
      <c r="H22" s="314"/>
      <c r="I22" s="314"/>
    </row>
    <row r="23" spans="1:9" ht="27.95" customHeight="1">
      <c r="A23" s="124"/>
      <c r="B23" s="161" t="s">
        <v>229</v>
      </c>
      <c r="C23" s="239" t="e">
        <f>数据修正!V4</f>
        <v>#N/A</v>
      </c>
      <c r="D23" s="239"/>
      <c r="E23" s="124"/>
      <c r="F23" s="161" t="s">
        <v>105</v>
      </c>
      <c r="G23" s="310" t="e">
        <f>数据修正!V5</f>
        <v>#N/A</v>
      </c>
      <c r="H23" s="310"/>
      <c r="I23" s="210"/>
    </row>
    <row r="24" spans="1:9">
      <c r="A24" s="105"/>
      <c r="B24" s="155"/>
      <c r="C24" s="155"/>
      <c r="D24" s="155"/>
      <c r="E24" s="105"/>
      <c r="F24" s="155"/>
      <c r="G24" s="155"/>
      <c r="H24" s="155"/>
      <c r="I24" s="105"/>
    </row>
  </sheetData>
  <sheetProtection selectLockedCells="1"/>
  <mergeCells count="33">
    <mergeCell ref="G23:H23"/>
    <mergeCell ref="C21:I21"/>
    <mergeCell ref="C22:I22"/>
    <mergeCell ref="A14:B14"/>
    <mergeCell ref="A16:I16"/>
    <mergeCell ref="D17:E17"/>
    <mergeCell ref="H17:I17"/>
    <mergeCell ref="C14:I14"/>
    <mergeCell ref="G12:I12"/>
    <mergeCell ref="G13:I13"/>
    <mergeCell ref="A10:B10"/>
    <mergeCell ref="C10:D10"/>
    <mergeCell ref="E10:F10"/>
    <mergeCell ref="A11:B11"/>
    <mergeCell ref="C11:D11"/>
    <mergeCell ref="E11:F11"/>
    <mergeCell ref="G10:I10"/>
    <mergeCell ref="G11:I11"/>
    <mergeCell ref="A12:B12"/>
    <mergeCell ref="C12:D12"/>
    <mergeCell ref="E12:F12"/>
    <mergeCell ref="A13:B13"/>
    <mergeCell ref="C13:D13"/>
    <mergeCell ref="E13:F13"/>
    <mergeCell ref="C2:H2"/>
    <mergeCell ref="C3:H3"/>
    <mergeCell ref="A6:I6"/>
    <mergeCell ref="F7:G7"/>
    <mergeCell ref="A9:B9"/>
    <mergeCell ref="C9:D9"/>
    <mergeCell ref="E9:F9"/>
    <mergeCell ref="H7:I7"/>
    <mergeCell ref="G9:I9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>
    <tabColor rgb="FF92D050"/>
  </sheetPr>
  <dimension ref="A1:J242"/>
  <sheetViews>
    <sheetView showWhiteSpace="0" zoomScaleNormal="100" workbookViewId="0">
      <selection activeCell="M11" sqref="M11"/>
    </sheetView>
  </sheetViews>
  <sheetFormatPr defaultColWidth="9.125" defaultRowHeight="13.5"/>
  <cols>
    <col min="1" max="1" width="8.625" customWidth="1"/>
    <col min="2" max="2" width="25.75" customWidth="1"/>
    <col min="3" max="3" width="28.875" customWidth="1"/>
    <col min="4" max="4" width="24.625" customWidth="1"/>
    <col min="5" max="5" width="0.25" customWidth="1"/>
    <col min="6" max="8" width="0" style="58" hidden="1" customWidth="1"/>
    <col min="9" max="9" width="0.125" style="58" customWidth="1"/>
    <col min="10" max="11" width="0.125" customWidth="1"/>
  </cols>
  <sheetData>
    <row r="1" spans="1:8" ht="7.15" customHeight="1">
      <c r="A1" s="48"/>
      <c r="B1" s="48"/>
      <c r="C1" s="48"/>
      <c r="D1" s="48"/>
      <c r="E1" s="48"/>
    </row>
    <row r="2" spans="1:8" ht="7.15" customHeight="1">
      <c r="A2" s="48"/>
      <c r="B2" s="48"/>
      <c r="C2" s="48"/>
      <c r="D2" s="48"/>
      <c r="E2" s="48"/>
    </row>
    <row r="3" spans="1:8" ht="7.15" customHeight="1">
      <c r="A3" s="48"/>
      <c r="B3" s="48"/>
      <c r="C3" s="48"/>
      <c r="D3" s="48"/>
      <c r="E3" s="48"/>
    </row>
    <row r="4" spans="1:8" ht="7.15" customHeight="1">
      <c r="A4" s="48"/>
      <c r="B4" s="48"/>
      <c r="C4" s="48"/>
      <c r="D4" s="48"/>
      <c r="E4" s="48"/>
    </row>
    <row r="5" spans="1:8" ht="7.15" customHeight="1">
      <c r="A5" s="48"/>
      <c r="B5" s="48"/>
      <c r="C5" s="48"/>
      <c r="D5" s="48"/>
      <c r="E5" s="48"/>
    </row>
    <row r="6" spans="1:8" ht="7.15" customHeight="1">
      <c r="A6" s="48"/>
      <c r="B6" s="48"/>
      <c r="C6" s="48"/>
      <c r="D6" s="48"/>
      <c r="E6" s="48"/>
    </row>
    <row r="7" spans="1:8" ht="15" customHeight="1">
      <c r="A7" s="53" t="s">
        <v>123</v>
      </c>
      <c r="B7" s="48"/>
      <c r="C7" s="49"/>
      <c r="D7" s="49"/>
      <c r="E7" s="49"/>
    </row>
    <row r="8" spans="1:8" ht="22.5" customHeight="1">
      <c r="A8" s="339" t="s">
        <v>281</v>
      </c>
      <c r="B8" s="339"/>
      <c r="C8" s="339"/>
      <c r="D8" s="339"/>
      <c r="E8" s="339"/>
    </row>
    <row r="9" spans="1:8" ht="14.25" customHeight="1">
      <c r="A9" s="50" t="s">
        <v>124</v>
      </c>
      <c r="B9" s="51"/>
      <c r="C9" s="145" t="s">
        <v>225</v>
      </c>
      <c r="D9" s="146" t="str">
        <f>"BC"&amp;TEXT(数据源!B2,"00000000000")</f>
        <v>BC00000000000</v>
      </c>
      <c r="E9" s="61"/>
    </row>
    <row r="10" spans="1:8" ht="5.0999999999999996" customHeight="1">
      <c r="A10" s="52"/>
      <c r="B10" s="52"/>
      <c r="C10" s="52"/>
      <c r="D10" s="52"/>
      <c r="E10" s="196"/>
    </row>
    <row r="11" spans="1:8" ht="46.5" customHeight="1">
      <c r="A11" s="252" t="s">
        <v>112</v>
      </c>
      <c r="B11" s="219">
        <f>数据源!G11</f>
        <v>0</v>
      </c>
      <c r="C11" s="252" t="s">
        <v>125</v>
      </c>
      <c r="D11" s="215">
        <f>数据源!O4</f>
        <v>0</v>
      </c>
      <c r="E11" s="193"/>
    </row>
    <row r="12" spans="1:8" ht="17.25">
      <c r="A12" s="252" t="s">
        <v>126</v>
      </c>
      <c r="B12" s="215">
        <f>数据源!G4</f>
        <v>0</v>
      </c>
      <c r="C12" s="252" t="s">
        <v>114</v>
      </c>
      <c r="D12" s="215" t="str">
        <f>TEXT(数据源!B3,"00000000000")</f>
        <v>00000000000</v>
      </c>
      <c r="E12" s="194"/>
    </row>
    <row r="13" spans="1:8" ht="17.25">
      <c r="A13" s="252" t="s">
        <v>127</v>
      </c>
      <c r="B13" s="215" t="str">
        <f>TEXT(数据源!B4,"#")&amp;数据源!B5</f>
        <v/>
      </c>
      <c r="C13" s="252" t="s">
        <v>128</v>
      </c>
      <c r="D13" s="215" t="str">
        <f>LEFT(数据源!B18,4)&amp;"/"&amp;MID(数据源!B18,5,2)&amp;"/"&amp;MID(数据源!B18,7,2)</f>
        <v>//</v>
      </c>
      <c r="E13" s="194"/>
    </row>
    <row r="14" spans="1:8" ht="17.25">
      <c r="A14" s="253" t="s">
        <v>122</v>
      </c>
      <c r="B14" s="215">
        <f>数据源!B9</f>
        <v>0</v>
      </c>
      <c r="C14" s="252" t="s">
        <v>102</v>
      </c>
      <c r="D14" s="216" t="e">
        <f>数据修正!V2</f>
        <v>#N/A</v>
      </c>
      <c r="E14" s="195"/>
      <c r="H14" s="58">
        <v>123</v>
      </c>
    </row>
    <row r="15" spans="1:8" ht="17.25">
      <c r="A15" s="254" t="s">
        <v>129</v>
      </c>
      <c r="B15" s="340">
        <f>数据源!B14</f>
        <v>0</v>
      </c>
      <c r="C15" s="340"/>
      <c r="D15" s="340"/>
      <c r="E15" s="197"/>
    </row>
    <row r="16" spans="1:8" ht="10.5" customHeight="1">
      <c r="A16" s="190"/>
      <c r="B16" s="188"/>
      <c r="C16" s="189"/>
      <c r="D16" s="189"/>
      <c r="E16" s="189"/>
    </row>
    <row r="17" spans="1:10" ht="24.95" customHeight="1">
      <c r="A17" s="191"/>
      <c r="B17" s="54" t="s">
        <v>91</v>
      </c>
      <c r="C17" s="54" t="s">
        <v>130</v>
      </c>
      <c r="D17" s="54" t="s">
        <v>89</v>
      </c>
      <c r="E17" s="54"/>
    </row>
    <row r="18" spans="1:10" s="97" customFormat="1" ht="15">
      <c r="A18" s="249"/>
      <c r="B18" s="250"/>
      <c r="C18" s="251"/>
      <c r="D18" s="251"/>
      <c r="E18" s="54"/>
      <c r="F18" s="58"/>
      <c r="G18" s="58"/>
      <c r="H18" s="58"/>
      <c r="I18" s="58"/>
    </row>
    <row r="19" spans="1:10" s="97" customFormat="1">
      <c r="A19" s="221"/>
      <c r="B19" s="220" t="s">
        <v>219</v>
      </c>
      <c r="C19" s="221"/>
      <c r="D19" s="221"/>
      <c r="E19" s="147"/>
      <c r="F19" s="102"/>
      <c r="G19" s="102"/>
      <c r="H19" s="102"/>
      <c r="I19" s="102"/>
      <c r="J19" s="103"/>
    </row>
    <row r="20" spans="1:10" s="97" customFormat="1" ht="0.95" customHeight="1">
      <c r="A20" s="222"/>
      <c r="B20" s="222"/>
      <c r="C20" s="222"/>
      <c r="D20" s="222"/>
      <c r="E20" s="101"/>
      <c r="F20" s="59"/>
      <c r="G20" s="59"/>
      <c r="H20" s="59"/>
      <c r="I20" s="59"/>
      <c r="J20" s="60"/>
    </row>
    <row r="21" spans="1:10" s="97" customFormat="1" ht="16.5">
      <c r="A21" s="192" t="s">
        <v>131</v>
      </c>
      <c r="B21" s="338" t="str">
        <f>数据修正!V7</f>
        <v>合格</v>
      </c>
      <c r="C21" s="338"/>
      <c r="D21" s="338"/>
      <c r="E21" s="338"/>
      <c r="F21" s="58"/>
      <c r="G21" s="58"/>
      <c r="H21" s="58"/>
      <c r="I21" s="58"/>
      <c r="J21"/>
    </row>
    <row r="22" spans="1:10" s="97" customFormat="1" ht="16.5">
      <c r="A22" s="198" t="s">
        <v>226</v>
      </c>
      <c r="B22" s="282">
        <f>数据修正!W4</f>
        <v>0</v>
      </c>
      <c r="C22" s="198" t="s">
        <v>224</v>
      </c>
      <c r="D22" s="282">
        <f>数据修正!W5</f>
        <v>0</v>
      </c>
      <c r="E22" s="199"/>
      <c r="F22" s="58"/>
      <c r="G22" s="58"/>
      <c r="H22" s="58"/>
      <c r="I22" s="58"/>
      <c r="J22"/>
    </row>
    <row r="23" spans="1:10" s="97" customFormat="1">
      <c r="A23" s="105"/>
      <c r="B23" s="105"/>
      <c r="C23" s="105"/>
      <c r="D23" s="105"/>
      <c r="E23" s="105"/>
      <c r="F23" s="209"/>
      <c r="G23" s="58"/>
      <c r="H23" s="58"/>
      <c r="I23" s="58"/>
      <c r="J23"/>
    </row>
    <row r="24" spans="1:10" s="97" customFormat="1">
      <c r="A24"/>
      <c r="B24"/>
      <c r="C24"/>
      <c r="D24"/>
      <c r="E24"/>
      <c r="F24" s="58"/>
      <c r="G24" s="58"/>
      <c r="H24" s="58"/>
      <c r="I24" s="58"/>
      <c r="J24"/>
    </row>
    <row r="25" spans="1:10" s="97" customFormat="1">
      <c r="A25"/>
      <c r="B25"/>
      <c r="C25"/>
      <c r="D25"/>
      <c r="E25"/>
      <c r="F25" s="58"/>
      <c r="G25" s="58"/>
      <c r="H25" s="58"/>
      <c r="I25" s="58"/>
      <c r="J25"/>
    </row>
    <row r="26" spans="1:10" s="97" customFormat="1">
      <c r="A26"/>
      <c r="B26"/>
      <c r="C26"/>
      <c r="D26"/>
      <c r="E26"/>
      <c r="F26" s="58"/>
      <c r="G26" s="58"/>
      <c r="H26" s="58"/>
      <c r="I26" s="58"/>
      <c r="J26"/>
    </row>
    <row r="27" spans="1:10" s="97" customFormat="1">
      <c r="A27"/>
      <c r="B27"/>
      <c r="C27"/>
      <c r="D27"/>
      <c r="E27"/>
      <c r="F27" s="58"/>
      <c r="G27" s="58"/>
      <c r="H27" s="58"/>
      <c r="I27" s="58"/>
      <c r="J27"/>
    </row>
    <row r="28" spans="1:10" s="97" customFormat="1">
      <c r="A28"/>
      <c r="B28"/>
      <c r="C28"/>
      <c r="D28"/>
      <c r="E28"/>
      <c r="F28" s="58"/>
      <c r="G28" s="58"/>
      <c r="H28" s="58"/>
      <c r="I28" s="58"/>
      <c r="J28"/>
    </row>
    <row r="29" spans="1:10" s="97" customFormat="1">
      <c r="A29"/>
      <c r="B29"/>
      <c r="C29"/>
      <c r="D29"/>
      <c r="E29"/>
      <c r="F29" s="58"/>
      <c r="G29" s="58"/>
      <c r="H29" s="58"/>
      <c r="I29" s="58"/>
      <c r="J29"/>
    </row>
    <row r="30" spans="1:10" s="97" customFormat="1">
      <c r="A30"/>
      <c r="B30"/>
      <c r="C30"/>
      <c r="D30"/>
      <c r="E30"/>
      <c r="F30" s="58"/>
      <c r="G30" s="58"/>
      <c r="H30" s="58"/>
      <c r="I30" s="58"/>
      <c r="J30"/>
    </row>
    <row r="31" spans="1:10" s="97" customFormat="1">
      <c r="A31"/>
      <c r="B31"/>
      <c r="C31"/>
      <c r="D31"/>
      <c r="E31"/>
      <c r="F31" s="58"/>
      <c r="G31" s="58"/>
      <c r="H31" s="58"/>
      <c r="I31" s="58"/>
      <c r="J31"/>
    </row>
    <row r="32" spans="1:10" s="97" customFormat="1">
      <c r="A32"/>
      <c r="B32"/>
      <c r="C32"/>
      <c r="D32"/>
      <c r="E32"/>
      <c r="F32" s="58"/>
      <c r="G32" s="58"/>
      <c r="H32" s="58"/>
      <c r="I32" s="58"/>
      <c r="J32"/>
    </row>
    <row r="33" spans="1:10" s="97" customFormat="1">
      <c r="A33"/>
      <c r="B33"/>
      <c r="C33"/>
      <c r="D33"/>
      <c r="E33"/>
      <c r="F33" s="58"/>
      <c r="G33" s="58"/>
      <c r="H33" s="58"/>
      <c r="I33" s="58"/>
      <c r="J33"/>
    </row>
    <row r="34" spans="1:10" s="97" customFormat="1">
      <c r="A34"/>
      <c r="B34"/>
      <c r="C34"/>
      <c r="D34"/>
      <c r="E34"/>
      <c r="F34" s="58"/>
      <c r="G34" s="58"/>
      <c r="H34" s="58"/>
      <c r="I34" s="58"/>
      <c r="J34"/>
    </row>
    <row r="35" spans="1:10" s="97" customFormat="1">
      <c r="A35"/>
      <c r="B35"/>
      <c r="C35"/>
      <c r="D35"/>
      <c r="E35"/>
      <c r="F35" s="58"/>
      <c r="G35" s="58"/>
      <c r="H35" s="58"/>
      <c r="I35" s="58"/>
      <c r="J35"/>
    </row>
    <row r="36" spans="1:10" s="97" customFormat="1">
      <c r="A36"/>
      <c r="B36"/>
      <c r="C36"/>
      <c r="D36"/>
      <c r="E36"/>
      <c r="F36" s="58"/>
      <c r="G36" s="58"/>
      <c r="H36" s="58"/>
      <c r="I36" s="58"/>
      <c r="J36"/>
    </row>
    <row r="37" spans="1:10" s="97" customFormat="1">
      <c r="A37"/>
      <c r="B37"/>
      <c r="C37"/>
      <c r="D37"/>
      <c r="E37"/>
      <c r="F37" s="58"/>
      <c r="G37" s="58"/>
      <c r="H37" s="58"/>
      <c r="I37" s="58"/>
      <c r="J37"/>
    </row>
    <row r="38" spans="1:10" s="97" customFormat="1">
      <c r="A38"/>
      <c r="B38"/>
      <c r="C38"/>
      <c r="D38"/>
      <c r="E38"/>
      <c r="F38" s="58"/>
      <c r="G38" s="58"/>
      <c r="H38" s="58"/>
      <c r="I38" s="58"/>
      <c r="J38"/>
    </row>
    <row r="39" spans="1:10" s="97" customFormat="1">
      <c r="A39"/>
      <c r="B39"/>
      <c r="C39"/>
      <c r="D39"/>
      <c r="E39"/>
      <c r="F39" s="58"/>
      <c r="G39" s="58"/>
      <c r="H39" s="58"/>
      <c r="I39" s="58"/>
      <c r="J39"/>
    </row>
    <row r="40" spans="1:10" s="97" customFormat="1">
      <c r="A40"/>
      <c r="B40"/>
      <c r="C40"/>
      <c r="D40"/>
      <c r="E40"/>
      <c r="F40" s="58"/>
      <c r="G40" s="58"/>
      <c r="H40" s="58"/>
      <c r="I40" s="58"/>
      <c r="J40"/>
    </row>
    <row r="41" spans="1:10" s="97" customFormat="1">
      <c r="A41"/>
      <c r="B41"/>
      <c r="C41"/>
      <c r="D41"/>
      <c r="E41"/>
      <c r="F41" s="58"/>
      <c r="G41" s="58"/>
      <c r="H41" s="58"/>
      <c r="I41" s="58"/>
      <c r="J41"/>
    </row>
    <row r="42" spans="1:10" s="97" customFormat="1">
      <c r="A42"/>
      <c r="B42"/>
      <c r="C42"/>
      <c r="D42"/>
      <c r="E42"/>
      <c r="F42" s="58"/>
      <c r="G42" s="58"/>
      <c r="H42" s="58"/>
      <c r="I42" s="58"/>
      <c r="J42"/>
    </row>
    <row r="43" spans="1:10" s="97" customFormat="1">
      <c r="A43"/>
      <c r="B43"/>
      <c r="C43"/>
      <c r="D43"/>
      <c r="E43"/>
      <c r="F43" s="58"/>
      <c r="G43" s="58"/>
      <c r="H43" s="58"/>
      <c r="I43" s="58"/>
      <c r="J43"/>
    </row>
    <row r="44" spans="1:10" s="97" customFormat="1">
      <c r="A44"/>
      <c r="B44"/>
      <c r="C44"/>
      <c r="D44"/>
      <c r="E44"/>
      <c r="F44" s="58"/>
      <c r="G44" s="58"/>
      <c r="H44" s="58"/>
      <c r="I44" s="58"/>
      <c r="J44"/>
    </row>
    <row r="45" spans="1:10" s="97" customFormat="1">
      <c r="A45"/>
      <c r="B45"/>
      <c r="C45"/>
      <c r="D45"/>
      <c r="E45"/>
      <c r="F45" s="58"/>
      <c r="G45" s="58"/>
      <c r="H45" s="58"/>
      <c r="I45" s="58"/>
      <c r="J45"/>
    </row>
    <row r="46" spans="1:10" s="97" customFormat="1">
      <c r="A46"/>
      <c r="B46"/>
      <c r="C46"/>
      <c r="D46"/>
      <c r="E46"/>
      <c r="F46" s="58"/>
      <c r="G46" s="58"/>
      <c r="H46" s="58"/>
      <c r="I46" s="58"/>
      <c r="J46"/>
    </row>
    <row r="47" spans="1:10" s="97" customFormat="1">
      <c r="A47"/>
      <c r="B47"/>
      <c r="C47"/>
      <c r="D47"/>
      <c r="E47"/>
      <c r="F47" s="58"/>
      <c r="G47" s="58"/>
      <c r="H47" s="58"/>
      <c r="I47" s="58"/>
      <c r="J47"/>
    </row>
    <row r="48" spans="1:10" s="97" customFormat="1">
      <c r="A48"/>
      <c r="B48"/>
      <c r="C48"/>
      <c r="D48"/>
      <c r="E48"/>
      <c r="F48" s="58"/>
      <c r="G48" s="58"/>
      <c r="H48" s="58"/>
      <c r="I48" s="58"/>
      <c r="J48"/>
    </row>
    <row r="49" spans="1:10" s="97" customFormat="1">
      <c r="A49"/>
      <c r="B49"/>
      <c r="C49"/>
      <c r="D49"/>
      <c r="E49"/>
      <c r="F49" s="58"/>
      <c r="G49" s="58"/>
      <c r="H49" s="58"/>
      <c r="I49" s="58"/>
      <c r="J49"/>
    </row>
    <row r="50" spans="1:10" s="97" customFormat="1">
      <c r="A50"/>
      <c r="B50"/>
      <c r="C50"/>
      <c r="D50"/>
      <c r="E50"/>
      <c r="F50" s="58"/>
      <c r="G50" s="58"/>
      <c r="H50" s="58"/>
      <c r="I50" s="58"/>
      <c r="J50"/>
    </row>
    <row r="51" spans="1:10" s="97" customFormat="1">
      <c r="A51"/>
      <c r="B51"/>
      <c r="C51"/>
      <c r="D51"/>
      <c r="E51"/>
      <c r="F51" s="58"/>
      <c r="G51" s="58"/>
      <c r="H51" s="58"/>
      <c r="I51" s="58"/>
      <c r="J51"/>
    </row>
    <row r="52" spans="1:10" s="97" customFormat="1">
      <c r="A52"/>
      <c r="B52"/>
      <c r="C52"/>
      <c r="D52"/>
      <c r="E52"/>
      <c r="F52" s="58"/>
      <c r="G52" s="58"/>
      <c r="H52" s="58"/>
      <c r="I52" s="58"/>
      <c r="J52"/>
    </row>
    <row r="53" spans="1:10" s="97" customFormat="1">
      <c r="A53"/>
      <c r="B53"/>
      <c r="C53"/>
      <c r="D53"/>
      <c r="E53"/>
      <c r="F53" s="58"/>
      <c r="G53" s="58"/>
      <c r="H53" s="58"/>
      <c r="I53" s="58"/>
      <c r="J53"/>
    </row>
    <row r="54" spans="1:10" s="97" customFormat="1">
      <c r="A54"/>
      <c r="B54"/>
      <c r="C54"/>
      <c r="D54"/>
      <c r="E54"/>
      <c r="F54" s="58"/>
      <c r="G54" s="58"/>
      <c r="H54" s="58"/>
      <c r="I54" s="58"/>
      <c r="J54"/>
    </row>
    <row r="55" spans="1:10" s="97" customFormat="1">
      <c r="A55"/>
      <c r="B55"/>
      <c r="C55"/>
      <c r="D55"/>
      <c r="E55"/>
      <c r="F55" s="58"/>
      <c r="G55" s="58"/>
      <c r="H55" s="58"/>
      <c r="I55" s="58"/>
      <c r="J55"/>
    </row>
    <row r="56" spans="1:10" s="97" customFormat="1">
      <c r="A56"/>
      <c r="B56"/>
      <c r="C56"/>
      <c r="D56"/>
      <c r="E56"/>
      <c r="F56" s="58"/>
      <c r="G56" s="58"/>
      <c r="H56" s="58"/>
      <c r="I56" s="58"/>
      <c r="J56"/>
    </row>
    <row r="57" spans="1:10" s="97" customFormat="1">
      <c r="A57"/>
      <c r="B57"/>
      <c r="C57"/>
      <c r="D57"/>
      <c r="E57"/>
      <c r="F57" s="58"/>
      <c r="G57" s="58"/>
      <c r="H57" s="58"/>
      <c r="I57" s="58"/>
      <c r="J57"/>
    </row>
    <row r="58" spans="1:10" s="97" customFormat="1">
      <c r="A58"/>
      <c r="B58"/>
      <c r="C58"/>
      <c r="D58"/>
      <c r="E58"/>
      <c r="F58" s="58"/>
      <c r="G58" s="58"/>
      <c r="H58" s="58"/>
      <c r="I58" s="58"/>
      <c r="J58"/>
    </row>
    <row r="59" spans="1:10" s="97" customFormat="1">
      <c r="A59"/>
      <c r="B59"/>
      <c r="C59"/>
      <c r="D59"/>
      <c r="E59"/>
      <c r="F59" s="58"/>
      <c r="G59" s="58"/>
      <c r="H59" s="58"/>
      <c r="I59" s="58"/>
      <c r="J59"/>
    </row>
    <row r="60" spans="1:10" s="97" customFormat="1">
      <c r="A60"/>
      <c r="B60"/>
      <c r="C60"/>
      <c r="D60"/>
      <c r="E60"/>
      <c r="F60" s="58"/>
      <c r="G60" s="58"/>
      <c r="H60" s="58"/>
      <c r="I60" s="58"/>
      <c r="J60"/>
    </row>
    <row r="61" spans="1:10" s="97" customFormat="1">
      <c r="A61"/>
      <c r="B61"/>
      <c r="C61"/>
      <c r="D61"/>
      <c r="E61"/>
      <c r="F61" s="58"/>
      <c r="G61" s="58"/>
      <c r="H61" s="58"/>
      <c r="I61" s="58"/>
      <c r="J61"/>
    </row>
    <row r="62" spans="1:10" s="97" customFormat="1">
      <c r="A62"/>
      <c r="B62"/>
      <c r="C62"/>
      <c r="D62"/>
      <c r="E62"/>
      <c r="F62" s="58"/>
      <c r="G62" s="58"/>
      <c r="H62" s="58"/>
      <c r="I62" s="58"/>
      <c r="J62"/>
    </row>
    <row r="63" spans="1:10" s="97" customFormat="1">
      <c r="A63"/>
      <c r="B63"/>
      <c r="C63"/>
      <c r="D63"/>
      <c r="E63"/>
      <c r="F63" s="58"/>
      <c r="G63" s="58"/>
      <c r="H63" s="58"/>
      <c r="I63" s="58"/>
      <c r="J63"/>
    </row>
    <row r="64" spans="1:10" s="97" customFormat="1">
      <c r="A64"/>
      <c r="B64"/>
      <c r="C64"/>
      <c r="D64"/>
      <c r="E64"/>
      <c r="F64" s="58"/>
      <c r="G64" s="58"/>
      <c r="H64" s="58"/>
      <c r="I64" s="58"/>
      <c r="J64"/>
    </row>
    <row r="65" spans="1:10" s="97" customFormat="1">
      <c r="A65"/>
      <c r="B65"/>
      <c r="C65"/>
      <c r="D65"/>
      <c r="E65"/>
      <c r="F65" s="58"/>
      <c r="G65" s="58"/>
      <c r="H65" s="58"/>
      <c r="I65" s="58"/>
      <c r="J65"/>
    </row>
    <row r="66" spans="1:10" s="97" customFormat="1">
      <c r="A66"/>
      <c r="B66"/>
      <c r="C66"/>
      <c r="D66"/>
      <c r="E66"/>
      <c r="F66" s="58"/>
      <c r="G66" s="58"/>
      <c r="H66" s="58"/>
      <c r="I66" s="58"/>
      <c r="J66"/>
    </row>
    <row r="67" spans="1:10" s="97" customFormat="1">
      <c r="A67"/>
      <c r="B67"/>
      <c r="C67"/>
      <c r="D67"/>
      <c r="E67"/>
      <c r="F67" s="58"/>
      <c r="G67" s="58"/>
      <c r="H67" s="58"/>
      <c r="I67" s="58"/>
      <c r="J67"/>
    </row>
    <row r="68" spans="1:10" s="97" customFormat="1">
      <c r="A68"/>
      <c r="B68"/>
      <c r="C68"/>
      <c r="D68"/>
      <c r="E68"/>
      <c r="F68" s="58"/>
      <c r="G68" s="58"/>
      <c r="H68" s="58"/>
      <c r="I68" s="58"/>
      <c r="J68"/>
    </row>
    <row r="69" spans="1:10" s="97" customFormat="1">
      <c r="A69"/>
      <c r="B69"/>
      <c r="C69"/>
      <c r="D69"/>
      <c r="E69"/>
      <c r="F69" s="58"/>
      <c r="G69" s="58"/>
      <c r="H69" s="58"/>
      <c r="I69" s="58"/>
      <c r="J69"/>
    </row>
    <row r="70" spans="1:10" s="97" customFormat="1" ht="66" customHeight="1">
      <c r="A70"/>
      <c r="B70"/>
      <c r="C70"/>
      <c r="D70"/>
      <c r="E70"/>
      <c r="F70" s="58"/>
      <c r="G70" s="58"/>
      <c r="H70" s="58"/>
      <c r="I70" s="58"/>
      <c r="J70"/>
    </row>
    <row r="71" spans="1:10" s="60" customFormat="1">
      <c r="A71"/>
      <c r="B71"/>
      <c r="C71"/>
      <c r="D71"/>
      <c r="E71"/>
      <c r="F71" s="58"/>
      <c r="G71" s="58"/>
      <c r="H71" s="58"/>
      <c r="I71" s="58"/>
      <c r="J71"/>
    </row>
    <row r="72" spans="1:10" s="103" customFormat="1">
      <c r="A72"/>
      <c r="B72"/>
      <c r="C72"/>
      <c r="D72"/>
      <c r="E72"/>
      <c r="F72" s="58"/>
      <c r="G72" s="58"/>
      <c r="H72" s="58"/>
      <c r="I72" s="58"/>
      <c r="J72"/>
    </row>
    <row r="73" spans="1:10" s="103" customFormat="1" ht="28.5" customHeight="1">
      <c r="A73"/>
      <c r="B73"/>
      <c r="C73"/>
      <c r="D73"/>
      <c r="E73"/>
      <c r="F73" s="58"/>
      <c r="G73" s="58"/>
      <c r="H73" s="58"/>
      <c r="I73" s="58"/>
      <c r="J73"/>
    </row>
    <row r="74" spans="1:10" s="103" customFormat="1" ht="20.100000000000001" customHeight="1">
      <c r="A74"/>
      <c r="B74"/>
      <c r="C74"/>
      <c r="D74"/>
      <c r="E74"/>
      <c r="F74" s="58"/>
      <c r="G74" s="58"/>
      <c r="H74" s="58"/>
      <c r="I74" s="58"/>
      <c r="J74"/>
    </row>
    <row r="75" spans="1:10" s="103" customFormat="1">
      <c r="A75"/>
      <c r="B75"/>
      <c r="C75"/>
      <c r="D75"/>
      <c r="E75"/>
      <c r="F75" s="58"/>
      <c r="G75" s="58"/>
      <c r="H75" s="58"/>
      <c r="I75" s="58"/>
      <c r="J75"/>
    </row>
    <row r="76" spans="1:10" s="103" customFormat="1">
      <c r="A76"/>
      <c r="B76"/>
      <c r="C76"/>
      <c r="D76"/>
      <c r="E76"/>
      <c r="F76" s="58"/>
      <c r="G76" s="58"/>
      <c r="H76" s="58"/>
      <c r="I76" s="58"/>
      <c r="J76"/>
    </row>
    <row r="77" spans="1:10" s="103" customFormat="1">
      <c r="A77"/>
      <c r="B77"/>
      <c r="C77"/>
      <c r="D77"/>
      <c r="E77"/>
      <c r="F77" s="58"/>
      <c r="G77" s="58"/>
      <c r="H77" s="58"/>
      <c r="I77" s="58"/>
      <c r="J77"/>
    </row>
    <row r="78" spans="1:10" s="103" customFormat="1">
      <c r="A78"/>
      <c r="B78"/>
      <c r="C78"/>
      <c r="D78"/>
      <c r="E78"/>
      <c r="F78" s="58"/>
      <c r="G78" s="58"/>
      <c r="H78" s="58"/>
      <c r="I78" s="58"/>
      <c r="J78"/>
    </row>
    <row r="79" spans="1:10" s="103" customFormat="1">
      <c r="A79"/>
      <c r="B79"/>
      <c r="C79"/>
      <c r="D79"/>
      <c r="E79"/>
      <c r="F79" s="58"/>
      <c r="G79" s="58"/>
      <c r="H79" s="58"/>
      <c r="I79" s="58"/>
      <c r="J79"/>
    </row>
    <row r="80" spans="1:10" s="103" customFormat="1">
      <c r="A80"/>
      <c r="B80"/>
      <c r="C80"/>
      <c r="D80"/>
      <c r="E80"/>
      <c r="F80" s="58"/>
      <c r="G80" s="58"/>
      <c r="H80" s="58"/>
      <c r="I80" s="58"/>
      <c r="J80"/>
    </row>
    <row r="81" spans="1:10" s="103" customFormat="1">
      <c r="A81"/>
      <c r="B81"/>
      <c r="C81"/>
      <c r="D81"/>
      <c r="E81"/>
      <c r="F81" s="58"/>
      <c r="G81" s="58"/>
      <c r="H81" s="58"/>
      <c r="I81" s="58"/>
      <c r="J81"/>
    </row>
    <row r="82" spans="1:10" s="103" customFormat="1">
      <c r="A82"/>
      <c r="B82"/>
      <c r="C82"/>
      <c r="D82"/>
      <c r="E82"/>
      <c r="F82" s="58"/>
      <c r="G82" s="58"/>
      <c r="H82" s="58"/>
      <c r="I82" s="58"/>
      <c r="J82"/>
    </row>
    <row r="83" spans="1:10" s="103" customFormat="1">
      <c r="A83"/>
      <c r="B83"/>
      <c r="C83"/>
      <c r="D83"/>
      <c r="E83"/>
      <c r="F83" s="58"/>
      <c r="G83" s="58"/>
      <c r="H83" s="58"/>
      <c r="I83" s="58"/>
      <c r="J83"/>
    </row>
    <row r="84" spans="1:10" s="103" customFormat="1">
      <c r="A84"/>
      <c r="B84"/>
      <c r="C84"/>
      <c r="D84"/>
      <c r="E84"/>
      <c r="F84" s="58"/>
      <c r="G84" s="58"/>
      <c r="H84" s="58"/>
      <c r="I84" s="58"/>
      <c r="J84"/>
    </row>
    <row r="85" spans="1:10" s="103" customFormat="1">
      <c r="A85"/>
      <c r="B85"/>
      <c r="C85"/>
      <c r="D85"/>
      <c r="E85"/>
      <c r="F85" s="58"/>
      <c r="G85" s="58"/>
      <c r="H85" s="58"/>
      <c r="I85" s="58"/>
      <c r="J85"/>
    </row>
    <row r="86" spans="1:10" s="103" customFormat="1">
      <c r="A86"/>
      <c r="B86"/>
      <c r="C86"/>
      <c r="D86"/>
      <c r="E86"/>
      <c r="F86" s="58"/>
      <c r="G86" s="58"/>
      <c r="H86" s="58"/>
      <c r="I86" s="58"/>
      <c r="J86"/>
    </row>
    <row r="87" spans="1:10" s="103" customFormat="1">
      <c r="A87"/>
      <c r="B87"/>
      <c r="C87"/>
      <c r="D87"/>
      <c r="E87"/>
      <c r="F87" s="58"/>
      <c r="G87" s="58"/>
      <c r="H87" s="58"/>
      <c r="I87" s="58"/>
      <c r="J87"/>
    </row>
    <row r="88" spans="1:10" s="103" customFormat="1">
      <c r="A88"/>
      <c r="B88"/>
      <c r="C88"/>
      <c r="D88"/>
      <c r="E88"/>
      <c r="F88" s="58"/>
      <c r="G88" s="58"/>
      <c r="H88" s="58"/>
      <c r="I88" s="58"/>
      <c r="J88"/>
    </row>
    <row r="89" spans="1:10" s="103" customFormat="1">
      <c r="A89"/>
      <c r="B89"/>
      <c r="C89"/>
      <c r="D89"/>
      <c r="E89"/>
      <c r="F89" s="58"/>
      <c r="G89" s="58"/>
      <c r="H89" s="58"/>
      <c r="I89" s="58"/>
      <c r="J89"/>
    </row>
    <row r="90" spans="1:10" s="103" customFormat="1">
      <c r="A90"/>
      <c r="B90"/>
      <c r="C90"/>
      <c r="D90"/>
      <c r="E90"/>
      <c r="F90" s="58"/>
      <c r="G90" s="58"/>
      <c r="H90" s="58"/>
      <c r="I90" s="58"/>
      <c r="J90"/>
    </row>
    <row r="91" spans="1:10" s="103" customFormat="1">
      <c r="A91"/>
      <c r="B91"/>
      <c r="C91"/>
      <c r="D91"/>
      <c r="E91"/>
      <c r="F91" s="58"/>
      <c r="G91" s="58"/>
      <c r="H91" s="58"/>
      <c r="I91" s="58"/>
      <c r="J91"/>
    </row>
    <row r="92" spans="1:10" s="103" customFormat="1">
      <c r="A92"/>
      <c r="B92"/>
      <c r="C92"/>
      <c r="D92"/>
      <c r="E92"/>
      <c r="F92" s="58"/>
      <c r="G92" s="58"/>
      <c r="H92" s="58"/>
      <c r="I92" s="58"/>
      <c r="J92"/>
    </row>
    <row r="93" spans="1:10" s="103" customFormat="1">
      <c r="A93"/>
      <c r="B93"/>
      <c r="C93"/>
      <c r="D93"/>
      <c r="E93"/>
      <c r="F93" s="58"/>
      <c r="G93" s="58"/>
      <c r="H93" s="58"/>
      <c r="I93" s="58"/>
      <c r="J93"/>
    </row>
    <row r="94" spans="1:10" s="103" customFormat="1">
      <c r="A94"/>
      <c r="B94"/>
      <c r="C94"/>
      <c r="D94"/>
      <c r="E94"/>
      <c r="F94" s="58"/>
      <c r="G94" s="58"/>
      <c r="H94" s="58"/>
      <c r="I94" s="58"/>
      <c r="J94"/>
    </row>
    <row r="95" spans="1:10" s="103" customFormat="1">
      <c r="A95"/>
      <c r="B95"/>
      <c r="C95"/>
      <c r="D95"/>
      <c r="E95"/>
      <c r="F95" s="58"/>
      <c r="G95" s="58"/>
      <c r="H95" s="58"/>
      <c r="I95" s="58"/>
      <c r="J95"/>
    </row>
    <row r="96" spans="1:10" s="103" customFormat="1">
      <c r="A96"/>
      <c r="B96"/>
      <c r="C96"/>
      <c r="D96"/>
      <c r="E96"/>
      <c r="F96" s="58"/>
      <c r="G96" s="58"/>
      <c r="H96" s="58"/>
      <c r="I96" s="58"/>
      <c r="J96"/>
    </row>
    <row r="97" spans="1:10" s="103" customFormat="1">
      <c r="A97"/>
      <c r="B97"/>
      <c r="C97"/>
      <c r="D97"/>
      <c r="E97"/>
      <c r="F97" s="58"/>
      <c r="G97" s="58"/>
      <c r="H97" s="58"/>
      <c r="I97" s="58"/>
      <c r="J97"/>
    </row>
    <row r="98" spans="1:10" s="103" customFormat="1">
      <c r="A98"/>
      <c r="B98"/>
      <c r="C98"/>
      <c r="D98"/>
      <c r="E98"/>
      <c r="F98" s="58"/>
      <c r="G98" s="58"/>
      <c r="H98" s="58"/>
      <c r="I98" s="58"/>
      <c r="J98"/>
    </row>
    <row r="99" spans="1:10" s="103" customFormat="1">
      <c r="A99"/>
      <c r="B99"/>
      <c r="C99"/>
      <c r="D99"/>
      <c r="E99"/>
      <c r="F99" s="58"/>
      <c r="G99" s="58"/>
      <c r="H99" s="58"/>
      <c r="I99" s="58"/>
      <c r="J99"/>
    </row>
    <row r="100" spans="1:10" s="103" customFormat="1">
      <c r="A100"/>
      <c r="B100"/>
      <c r="C100"/>
      <c r="D100"/>
      <c r="E100"/>
      <c r="F100" s="58"/>
      <c r="G100" s="58"/>
      <c r="H100" s="58"/>
      <c r="I100" s="58"/>
      <c r="J100"/>
    </row>
    <row r="101" spans="1:10" s="103" customFormat="1">
      <c r="A101"/>
      <c r="B101"/>
      <c r="C101"/>
      <c r="D101"/>
      <c r="E101"/>
      <c r="F101" s="58"/>
      <c r="G101" s="58"/>
      <c r="H101" s="58"/>
      <c r="I101" s="58"/>
      <c r="J101"/>
    </row>
    <row r="102" spans="1:10" s="103" customFormat="1">
      <c r="A102"/>
      <c r="B102"/>
      <c r="C102"/>
      <c r="D102"/>
      <c r="E102"/>
      <c r="F102" s="58"/>
      <c r="G102" s="58"/>
      <c r="H102" s="58"/>
      <c r="I102" s="58"/>
      <c r="J102"/>
    </row>
    <row r="103" spans="1:10" s="103" customFormat="1">
      <c r="A103"/>
      <c r="B103"/>
      <c r="C103"/>
      <c r="D103"/>
      <c r="E103"/>
      <c r="F103" s="58"/>
      <c r="G103" s="58"/>
      <c r="H103" s="58"/>
      <c r="I103" s="58"/>
      <c r="J103"/>
    </row>
    <row r="104" spans="1:10" s="103" customFormat="1">
      <c r="A104"/>
      <c r="B104"/>
      <c r="C104"/>
      <c r="D104"/>
      <c r="E104"/>
      <c r="F104" s="58"/>
      <c r="G104" s="58"/>
      <c r="H104" s="58"/>
      <c r="I104" s="58"/>
      <c r="J104"/>
    </row>
    <row r="105" spans="1:10" s="103" customFormat="1">
      <c r="A105"/>
      <c r="B105"/>
      <c r="C105"/>
      <c r="D105"/>
      <c r="E105"/>
      <c r="F105" s="58"/>
      <c r="G105" s="58"/>
      <c r="H105" s="58"/>
      <c r="I105" s="58"/>
      <c r="J105"/>
    </row>
    <row r="106" spans="1:10" s="103" customFormat="1">
      <c r="A106"/>
      <c r="B106"/>
      <c r="C106"/>
      <c r="D106"/>
      <c r="E106"/>
      <c r="F106" s="58"/>
      <c r="G106" s="58"/>
      <c r="H106" s="58"/>
      <c r="I106" s="58"/>
      <c r="J106"/>
    </row>
    <row r="107" spans="1:10" s="103" customFormat="1">
      <c r="A107"/>
      <c r="B107"/>
      <c r="C107"/>
      <c r="D107"/>
      <c r="E107"/>
      <c r="F107" s="58"/>
      <c r="G107" s="58"/>
      <c r="H107" s="58"/>
      <c r="I107" s="58"/>
      <c r="J107"/>
    </row>
    <row r="108" spans="1:10" s="103" customFormat="1">
      <c r="A108"/>
      <c r="B108"/>
      <c r="C108"/>
      <c r="D108"/>
      <c r="E108"/>
      <c r="F108" s="58"/>
      <c r="G108" s="58"/>
      <c r="H108" s="58"/>
      <c r="I108" s="58"/>
      <c r="J108"/>
    </row>
    <row r="109" spans="1:10" s="103" customFormat="1">
      <c r="A109"/>
      <c r="B109"/>
      <c r="C109"/>
      <c r="D109"/>
      <c r="E109"/>
      <c r="F109" s="58"/>
      <c r="G109" s="58"/>
      <c r="H109" s="58"/>
      <c r="I109" s="58"/>
      <c r="J109"/>
    </row>
    <row r="110" spans="1:10" s="103" customFormat="1">
      <c r="A110"/>
      <c r="B110"/>
      <c r="C110"/>
      <c r="D110"/>
      <c r="E110"/>
      <c r="F110" s="58"/>
      <c r="G110" s="58"/>
      <c r="H110" s="58"/>
      <c r="I110" s="58"/>
      <c r="J110"/>
    </row>
    <row r="111" spans="1:10" s="103" customFormat="1">
      <c r="A111"/>
      <c r="B111"/>
      <c r="C111"/>
      <c r="D111"/>
      <c r="E111"/>
      <c r="F111" s="58"/>
      <c r="G111" s="58"/>
      <c r="H111" s="58"/>
      <c r="I111" s="58"/>
      <c r="J111"/>
    </row>
    <row r="112" spans="1:10" s="103" customFormat="1">
      <c r="A112"/>
      <c r="B112"/>
      <c r="C112"/>
      <c r="D112"/>
      <c r="E112"/>
      <c r="F112" s="58"/>
      <c r="G112" s="58"/>
      <c r="H112" s="58"/>
      <c r="I112" s="58"/>
      <c r="J112"/>
    </row>
    <row r="113" spans="1:10" s="103" customFormat="1">
      <c r="A113"/>
      <c r="B113"/>
      <c r="C113"/>
      <c r="D113"/>
      <c r="E113"/>
      <c r="F113" s="58"/>
      <c r="G113" s="58"/>
      <c r="H113" s="58"/>
      <c r="I113" s="58"/>
      <c r="J113"/>
    </row>
    <row r="114" spans="1:10" s="60" customFormat="1">
      <c r="A114"/>
      <c r="B114"/>
      <c r="C114"/>
      <c r="D114"/>
      <c r="E114"/>
      <c r="F114" s="58"/>
      <c r="G114" s="58"/>
      <c r="H114" s="58"/>
      <c r="I114" s="58"/>
      <c r="J114"/>
    </row>
    <row r="115" spans="1:10" s="60" customFormat="1">
      <c r="A115"/>
      <c r="B115"/>
      <c r="C115"/>
      <c r="D115"/>
      <c r="E115"/>
      <c r="F115" s="58"/>
      <c r="G115" s="58"/>
      <c r="H115" s="58"/>
      <c r="I115" s="58"/>
      <c r="J115"/>
    </row>
    <row r="116" spans="1:10" s="60" customFormat="1">
      <c r="A116"/>
      <c r="B116"/>
      <c r="C116"/>
      <c r="D116"/>
      <c r="E116"/>
      <c r="F116" s="58"/>
      <c r="G116" s="58"/>
      <c r="H116" s="58"/>
      <c r="I116" s="58"/>
      <c r="J116"/>
    </row>
    <row r="117" spans="1:10" s="60" customFormat="1">
      <c r="A117"/>
      <c r="B117"/>
      <c r="C117"/>
      <c r="D117"/>
      <c r="E117"/>
      <c r="F117" s="58"/>
      <c r="G117" s="58"/>
      <c r="H117" s="58"/>
      <c r="I117" s="58"/>
      <c r="J117"/>
    </row>
    <row r="118" spans="1:10" s="60" customFormat="1">
      <c r="A118"/>
      <c r="B118"/>
      <c r="C118"/>
      <c r="D118"/>
      <c r="E118"/>
      <c r="F118" s="58"/>
      <c r="G118" s="58"/>
      <c r="H118" s="58"/>
      <c r="I118" s="58"/>
      <c r="J118"/>
    </row>
    <row r="119" spans="1:10" s="60" customFormat="1">
      <c r="A119"/>
      <c r="B119"/>
      <c r="C119"/>
      <c r="D119"/>
      <c r="E119"/>
      <c r="F119" s="58"/>
      <c r="G119" s="58"/>
      <c r="H119" s="58"/>
      <c r="I119" s="58"/>
      <c r="J119"/>
    </row>
    <row r="120" spans="1:10" s="60" customFormat="1">
      <c r="A120"/>
      <c r="B120"/>
      <c r="C120"/>
      <c r="D120"/>
      <c r="E120"/>
      <c r="F120" s="58"/>
      <c r="G120" s="58"/>
      <c r="H120" s="58"/>
      <c r="I120" s="58"/>
      <c r="J120"/>
    </row>
    <row r="121" spans="1:10" s="60" customFormat="1">
      <c r="A121"/>
      <c r="B121"/>
      <c r="C121"/>
      <c r="D121"/>
      <c r="E121"/>
      <c r="F121" s="58"/>
      <c r="G121" s="58"/>
      <c r="H121" s="58"/>
      <c r="I121" s="58"/>
      <c r="J121"/>
    </row>
    <row r="122" spans="1:10" s="60" customFormat="1">
      <c r="A122"/>
      <c r="B122"/>
      <c r="C122"/>
      <c r="D122"/>
      <c r="E122"/>
      <c r="F122" s="58"/>
      <c r="G122" s="58"/>
      <c r="H122" s="58"/>
      <c r="I122" s="58"/>
      <c r="J122"/>
    </row>
    <row r="123" spans="1:10" s="60" customFormat="1">
      <c r="A123"/>
      <c r="B123"/>
      <c r="C123"/>
      <c r="D123"/>
      <c r="E123"/>
      <c r="F123" s="58"/>
      <c r="G123" s="58"/>
      <c r="H123" s="58"/>
      <c r="I123" s="58"/>
      <c r="J123"/>
    </row>
    <row r="124" spans="1:10" s="60" customFormat="1">
      <c r="A124"/>
      <c r="B124"/>
      <c r="C124"/>
      <c r="D124"/>
      <c r="E124"/>
      <c r="F124" s="58"/>
      <c r="G124" s="58"/>
      <c r="H124" s="58"/>
      <c r="I124" s="58"/>
      <c r="J124"/>
    </row>
    <row r="125" spans="1:10" s="60" customFormat="1">
      <c r="A125"/>
      <c r="B125"/>
      <c r="C125"/>
      <c r="D125"/>
      <c r="E125"/>
      <c r="F125" s="58"/>
      <c r="G125" s="58"/>
      <c r="H125" s="58"/>
      <c r="I125" s="58"/>
      <c r="J125"/>
    </row>
    <row r="126" spans="1:10" s="60" customFormat="1">
      <c r="A126"/>
      <c r="B126"/>
      <c r="C126"/>
      <c r="D126"/>
      <c r="E126"/>
      <c r="F126" s="58"/>
      <c r="G126" s="58"/>
      <c r="H126" s="58"/>
      <c r="I126" s="58"/>
      <c r="J126"/>
    </row>
    <row r="127" spans="1:10" s="60" customFormat="1">
      <c r="A127"/>
      <c r="B127"/>
      <c r="C127"/>
      <c r="D127"/>
      <c r="E127"/>
      <c r="F127" s="58"/>
      <c r="G127" s="58"/>
      <c r="H127" s="58"/>
      <c r="I127" s="58"/>
      <c r="J127"/>
    </row>
    <row r="128" spans="1:10" s="60" customFormat="1">
      <c r="A128"/>
      <c r="B128"/>
      <c r="C128"/>
      <c r="D128"/>
      <c r="E128"/>
      <c r="F128" s="58"/>
      <c r="G128" s="58"/>
      <c r="H128" s="58"/>
      <c r="I128" s="58"/>
      <c r="J128"/>
    </row>
    <row r="129" spans="1:10" s="60" customFormat="1">
      <c r="A129"/>
      <c r="B129"/>
      <c r="C129"/>
      <c r="D129"/>
      <c r="E129"/>
      <c r="F129" s="58"/>
      <c r="G129" s="58"/>
      <c r="H129" s="58"/>
      <c r="I129" s="58"/>
      <c r="J129"/>
    </row>
    <row r="130" spans="1:10" s="60" customFormat="1">
      <c r="A130"/>
      <c r="B130"/>
      <c r="C130"/>
      <c r="D130"/>
      <c r="E130"/>
      <c r="F130" s="58"/>
      <c r="G130" s="58"/>
      <c r="H130" s="58"/>
      <c r="I130" s="58"/>
      <c r="J130"/>
    </row>
    <row r="131" spans="1:10" s="60" customFormat="1">
      <c r="A131"/>
      <c r="B131"/>
      <c r="C131"/>
      <c r="D131"/>
      <c r="E131"/>
      <c r="F131" s="58"/>
      <c r="G131" s="58"/>
      <c r="H131" s="58"/>
      <c r="I131" s="58"/>
      <c r="J131"/>
    </row>
    <row r="132" spans="1:10" s="60" customFormat="1">
      <c r="A132"/>
      <c r="B132"/>
      <c r="C132"/>
      <c r="D132"/>
      <c r="E132"/>
      <c r="F132" s="58"/>
      <c r="G132" s="58"/>
      <c r="H132" s="58"/>
      <c r="I132" s="58"/>
      <c r="J132"/>
    </row>
    <row r="133" spans="1:10" s="60" customFormat="1">
      <c r="A133"/>
      <c r="B133"/>
      <c r="C133"/>
      <c r="D133"/>
      <c r="E133"/>
      <c r="F133" s="58"/>
      <c r="G133" s="58"/>
      <c r="H133" s="58"/>
      <c r="I133" s="58"/>
      <c r="J133"/>
    </row>
    <row r="134" spans="1:10" s="60" customFormat="1">
      <c r="A134"/>
      <c r="B134"/>
      <c r="C134"/>
      <c r="D134"/>
      <c r="E134"/>
      <c r="F134" s="58"/>
      <c r="G134" s="58"/>
      <c r="H134" s="58"/>
      <c r="I134" s="58"/>
      <c r="J134"/>
    </row>
    <row r="135" spans="1:10" s="60" customFormat="1">
      <c r="A135"/>
      <c r="B135"/>
      <c r="C135"/>
      <c r="D135"/>
      <c r="E135"/>
      <c r="F135" s="58"/>
      <c r="G135" s="58"/>
      <c r="H135" s="58"/>
      <c r="I135" s="58"/>
      <c r="J135"/>
    </row>
    <row r="136" spans="1:10" s="60" customFormat="1">
      <c r="A136"/>
      <c r="B136"/>
      <c r="C136"/>
      <c r="D136"/>
      <c r="E136"/>
      <c r="F136" s="58"/>
      <c r="G136" s="58"/>
      <c r="H136" s="58"/>
      <c r="I136" s="58"/>
      <c r="J136"/>
    </row>
    <row r="137" spans="1:10" s="60" customFormat="1">
      <c r="A137"/>
      <c r="B137"/>
      <c r="C137"/>
      <c r="D137"/>
      <c r="E137"/>
      <c r="F137" s="58"/>
      <c r="G137" s="58"/>
      <c r="H137" s="58"/>
      <c r="I137" s="58"/>
      <c r="J137"/>
    </row>
    <row r="138" spans="1:10" s="60" customFormat="1">
      <c r="A138"/>
      <c r="B138"/>
      <c r="C138"/>
      <c r="D138"/>
      <c r="E138"/>
      <c r="F138" s="58"/>
      <c r="G138" s="58"/>
      <c r="H138" s="58"/>
      <c r="I138" s="58"/>
      <c r="J138"/>
    </row>
    <row r="139" spans="1:10" s="60" customFormat="1">
      <c r="A139"/>
      <c r="B139"/>
      <c r="C139"/>
      <c r="D139"/>
      <c r="E139"/>
      <c r="F139" s="58"/>
      <c r="G139" s="58"/>
      <c r="H139" s="58"/>
      <c r="I139" s="58"/>
      <c r="J139"/>
    </row>
    <row r="140" spans="1:10" s="60" customFormat="1">
      <c r="A140"/>
      <c r="B140"/>
      <c r="C140"/>
      <c r="D140"/>
      <c r="E140"/>
      <c r="F140" s="58"/>
      <c r="G140" s="58"/>
      <c r="H140" s="58"/>
      <c r="I140" s="58"/>
      <c r="J140"/>
    </row>
    <row r="141" spans="1:10" s="60" customFormat="1">
      <c r="A141"/>
      <c r="B141"/>
      <c r="C141"/>
      <c r="D141"/>
      <c r="E141"/>
      <c r="F141" s="58"/>
      <c r="G141" s="58"/>
      <c r="H141" s="58"/>
      <c r="I141" s="58"/>
      <c r="J141"/>
    </row>
    <row r="142" spans="1:10" s="60" customFormat="1">
      <c r="A142"/>
      <c r="B142"/>
      <c r="C142"/>
      <c r="D142"/>
      <c r="E142"/>
      <c r="F142" s="58"/>
      <c r="G142" s="58"/>
      <c r="H142" s="58"/>
      <c r="I142" s="58"/>
      <c r="J142"/>
    </row>
    <row r="143" spans="1:10" s="60" customFormat="1">
      <c r="A143"/>
      <c r="B143"/>
      <c r="C143"/>
      <c r="D143"/>
      <c r="E143"/>
      <c r="F143" s="58"/>
      <c r="G143" s="58"/>
      <c r="H143" s="58"/>
      <c r="I143" s="58"/>
      <c r="J143"/>
    </row>
    <row r="144" spans="1:10" s="60" customFormat="1">
      <c r="A144"/>
      <c r="B144"/>
      <c r="C144"/>
      <c r="D144"/>
      <c r="E144"/>
      <c r="F144" s="58"/>
      <c r="G144" s="58"/>
      <c r="H144" s="58"/>
      <c r="I144" s="58"/>
      <c r="J144"/>
    </row>
    <row r="145" spans="1:10" s="60" customFormat="1">
      <c r="A145"/>
      <c r="B145"/>
      <c r="C145"/>
      <c r="D145"/>
      <c r="E145"/>
      <c r="F145" s="58"/>
      <c r="G145" s="58"/>
      <c r="H145" s="58"/>
      <c r="I145" s="58"/>
      <c r="J145"/>
    </row>
    <row r="146" spans="1:10" s="60" customFormat="1">
      <c r="A146"/>
      <c r="B146"/>
      <c r="C146"/>
      <c r="D146"/>
      <c r="E146"/>
      <c r="F146" s="58"/>
      <c r="G146" s="58"/>
      <c r="H146" s="58"/>
      <c r="I146" s="58"/>
      <c r="J146"/>
    </row>
    <row r="147" spans="1:10" s="60" customFormat="1">
      <c r="A147"/>
      <c r="B147"/>
      <c r="C147"/>
      <c r="D147"/>
      <c r="E147"/>
      <c r="F147" s="58"/>
      <c r="G147" s="58"/>
      <c r="H147" s="58"/>
      <c r="I147" s="58"/>
      <c r="J147"/>
    </row>
    <row r="148" spans="1:10" s="60" customFormat="1">
      <c r="A148"/>
      <c r="B148"/>
      <c r="C148"/>
      <c r="D148"/>
      <c r="E148"/>
      <c r="F148" s="58"/>
      <c r="G148" s="58"/>
      <c r="H148" s="58"/>
      <c r="I148" s="58"/>
      <c r="J148"/>
    </row>
    <row r="149" spans="1:10" s="60" customFormat="1">
      <c r="A149"/>
      <c r="B149"/>
      <c r="C149"/>
      <c r="D149"/>
      <c r="E149"/>
      <c r="F149" s="58"/>
      <c r="G149" s="58"/>
      <c r="H149" s="58"/>
      <c r="I149" s="58"/>
      <c r="J149"/>
    </row>
    <row r="150" spans="1:10" s="60" customFormat="1">
      <c r="A150"/>
      <c r="B150"/>
      <c r="C150"/>
      <c r="D150"/>
      <c r="E150"/>
      <c r="F150" s="58"/>
      <c r="G150" s="58"/>
      <c r="H150" s="58"/>
      <c r="I150" s="58"/>
      <c r="J150"/>
    </row>
    <row r="151" spans="1:10" s="60" customFormat="1">
      <c r="A151"/>
      <c r="B151"/>
      <c r="C151"/>
      <c r="D151"/>
      <c r="E151"/>
      <c r="F151" s="58"/>
      <c r="G151" s="58"/>
      <c r="H151" s="58"/>
      <c r="I151" s="58"/>
      <c r="J151"/>
    </row>
    <row r="152" spans="1:10" s="60" customFormat="1">
      <c r="A152"/>
      <c r="B152"/>
      <c r="C152"/>
      <c r="D152"/>
      <c r="E152"/>
      <c r="F152" s="58"/>
      <c r="G152" s="58"/>
      <c r="H152" s="58"/>
      <c r="I152" s="58"/>
      <c r="J152"/>
    </row>
    <row r="153" spans="1:10" s="60" customFormat="1">
      <c r="A153"/>
      <c r="B153"/>
      <c r="C153"/>
      <c r="D153"/>
      <c r="E153"/>
      <c r="F153" s="58"/>
      <c r="G153" s="58"/>
      <c r="H153" s="58"/>
      <c r="I153" s="58"/>
      <c r="J153"/>
    </row>
    <row r="154" spans="1:10" s="60" customFormat="1">
      <c r="A154"/>
      <c r="B154"/>
      <c r="C154"/>
      <c r="D154"/>
      <c r="E154"/>
      <c r="F154" s="58"/>
      <c r="G154" s="58"/>
      <c r="H154" s="58"/>
      <c r="I154" s="58"/>
      <c r="J154"/>
    </row>
    <row r="155" spans="1:10" s="60" customFormat="1">
      <c r="A155"/>
      <c r="B155"/>
      <c r="C155"/>
      <c r="D155"/>
      <c r="E155"/>
      <c r="F155" s="58"/>
      <c r="G155" s="58"/>
      <c r="H155" s="58"/>
      <c r="I155" s="58"/>
      <c r="J155"/>
    </row>
    <row r="156" spans="1:10" s="60" customFormat="1">
      <c r="A156"/>
      <c r="B156"/>
      <c r="C156"/>
      <c r="D156"/>
      <c r="E156"/>
      <c r="F156" s="58"/>
      <c r="G156" s="58"/>
      <c r="H156" s="58"/>
      <c r="I156" s="58"/>
      <c r="J156"/>
    </row>
    <row r="157" spans="1:10" s="60" customFormat="1">
      <c r="A157"/>
      <c r="B157"/>
      <c r="C157"/>
      <c r="D157"/>
      <c r="E157"/>
      <c r="F157" s="58"/>
      <c r="G157" s="58"/>
      <c r="H157" s="58"/>
      <c r="I157" s="58"/>
      <c r="J157"/>
    </row>
    <row r="158" spans="1:10" s="60" customFormat="1">
      <c r="A158"/>
      <c r="B158"/>
      <c r="C158"/>
      <c r="D158"/>
      <c r="E158"/>
      <c r="F158" s="58"/>
      <c r="G158" s="58"/>
      <c r="H158" s="58"/>
      <c r="I158" s="58"/>
      <c r="J158"/>
    </row>
    <row r="159" spans="1:10" s="60" customFormat="1">
      <c r="A159"/>
      <c r="B159"/>
      <c r="C159"/>
      <c r="D159"/>
      <c r="E159"/>
      <c r="F159" s="58"/>
      <c r="G159" s="58"/>
      <c r="H159" s="58"/>
      <c r="I159" s="58"/>
      <c r="J159"/>
    </row>
    <row r="160" spans="1:10" s="60" customFormat="1">
      <c r="A160"/>
      <c r="B160"/>
      <c r="C160"/>
      <c r="D160"/>
      <c r="E160"/>
      <c r="F160" s="58"/>
      <c r="G160" s="58"/>
      <c r="H160" s="58"/>
      <c r="I160" s="58"/>
      <c r="J160"/>
    </row>
    <row r="161" spans="1:10" s="60" customFormat="1">
      <c r="A161"/>
      <c r="B161"/>
      <c r="C161"/>
      <c r="D161"/>
      <c r="E161"/>
      <c r="F161" s="58"/>
      <c r="G161" s="58"/>
      <c r="H161" s="58"/>
      <c r="I161" s="58"/>
      <c r="J161"/>
    </row>
    <row r="162" spans="1:10" s="60" customFormat="1">
      <c r="A162"/>
      <c r="B162"/>
      <c r="C162"/>
      <c r="D162"/>
      <c r="E162"/>
      <c r="F162" s="58"/>
      <c r="G162" s="58"/>
      <c r="H162" s="58"/>
      <c r="I162" s="58"/>
      <c r="J162"/>
    </row>
    <row r="163" spans="1:10" s="60" customFormat="1">
      <c r="A163"/>
      <c r="B163"/>
      <c r="C163"/>
      <c r="D163"/>
      <c r="E163"/>
      <c r="F163" s="58"/>
      <c r="G163" s="58"/>
      <c r="H163" s="58"/>
      <c r="I163" s="58"/>
      <c r="J163"/>
    </row>
    <row r="164" spans="1:10" s="60" customFormat="1">
      <c r="A164"/>
      <c r="B164"/>
      <c r="C164"/>
      <c r="D164"/>
      <c r="E164"/>
      <c r="F164" s="58"/>
      <c r="G164" s="58"/>
      <c r="H164" s="58"/>
      <c r="I164" s="58"/>
      <c r="J164"/>
    </row>
    <row r="165" spans="1:10" s="60" customFormat="1">
      <c r="A165"/>
      <c r="B165"/>
      <c r="C165"/>
      <c r="D165"/>
      <c r="E165"/>
      <c r="F165" s="58"/>
      <c r="G165" s="58"/>
      <c r="H165" s="58"/>
      <c r="I165" s="58"/>
      <c r="J165"/>
    </row>
    <row r="166" spans="1:10" s="60" customFormat="1">
      <c r="A166"/>
      <c r="B166"/>
      <c r="C166"/>
      <c r="D166"/>
      <c r="E166"/>
      <c r="F166" s="58"/>
      <c r="G166" s="58"/>
      <c r="H166" s="58"/>
      <c r="I166" s="58"/>
      <c r="J166"/>
    </row>
    <row r="167" spans="1:10" s="60" customFormat="1">
      <c r="A167"/>
      <c r="B167"/>
      <c r="C167"/>
      <c r="D167"/>
      <c r="E167"/>
      <c r="F167" s="58"/>
      <c r="G167" s="58"/>
      <c r="H167" s="58"/>
      <c r="I167" s="58"/>
      <c r="J167"/>
    </row>
    <row r="168" spans="1:10" s="60" customFormat="1">
      <c r="A168"/>
      <c r="B168"/>
      <c r="C168"/>
      <c r="D168"/>
      <c r="E168"/>
      <c r="F168" s="58"/>
      <c r="G168" s="58"/>
      <c r="H168" s="58"/>
      <c r="I168" s="58"/>
      <c r="J168"/>
    </row>
    <row r="169" spans="1:10" s="60" customFormat="1">
      <c r="A169"/>
      <c r="B169"/>
      <c r="C169"/>
      <c r="D169"/>
      <c r="E169"/>
      <c r="F169" s="58"/>
      <c r="G169" s="58"/>
      <c r="H169" s="58"/>
      <c r="I169" s="58"/>
      <c r="J169"/>
    </row>
    <row r="170" spans="1:10" s="60" customFormat="1">
      <c r="A170"/>
      <c r="B170"/>
      <c r="C170"/>
      <c r="D170"/>
      <c r="E170"/>
      <c r="F170" s="58"/>
      <c r="G170" s="58"/>
      <c r="H170" s="58"/>
      <c r="I170" s="58"/>
      <c r="J170"/>
    </row>
    <row r="171" spans="1:10" s="60" customFormat="1">
      <c r="A171"/>
      <c r="B171"/>
      <c r="C171"/>
      <c r="D171"/>
      <c r="E171"/>
      <c r="F171" s="58"/>
      <c r="G171" s="58"/>
      <c r="H171" s="58"/>
      <c r="I171" s="58"/>
      <c r="J171"/>
    </row>
    <row r="172" spans="1:10" s="60" customFormat="1">
      <c r="A172"/>
      <c r="B172"/>
      <c r="C172"/>
      <c r="D172"/>
      <c r="E172"/>
      <c r="F172" s="58"/>
      <c r="G172" s="58"/>
      <c r="H172" s="58"/>
      <c r="I172" s="58"/>
      <c r="J172"/>
    </row>
    <row r="173" spans="1:10" s="60" customFormat="1">
      <c r="A173"/>
      <c r="B173"/>
      <c r="C173"/>
      <c r="D173"/>
      <c r="E173"/>
      <c r="F173" s="58"/>
      <c r="G173" s="58"/>
      <c r="H173" s="58"/>
      <c r="I173" s="58"/>
      <c r="J173"/>
    </row>
    <row r="174" spans="1:10" s="60" customFormat="1">
      <c r="A174"/>
      <c r="B174"/>
      <c r="C174"/>
      <c r="D174"/>
      <c r="E174"/>
      <c r="F174" s="58"/>
      <c r="G174" s="58"/>
      <c r="H174" s="58"/>
      <c r="I174" s="58"/>
      <c r="J174"/>
    </row>
    <row r="175" spans="1:10" s="60" customFormat="1">
      <c r="A175"/>
      <c r="B175"/>
      <c r="C175"/>
      <c r="D175"/>
      <c r="E175"/>
      <c r="F175" s="58"/>
      <c r="G175" s="58"/>
      <c r="H175" s="58"/>
      <c r="I175" s="58"/>
      <c r="J175"/>
    </row>
    <row r="176" spans="1:10" s="60" customFormat="1">
      <c r="A176"/>
      <c r="B176"/>
      <c r="C176"/>
      <c r="D176"/>
      <c r="E176"/>
      <c r="F176" s="58"/>
      <c r="G176" s="58"/>
      <c r="H176" s="58"/>
      <c r="I176" s="58"/>
      <c r="J176"/>
    </row>
    <row r="177" spans="1:10" s="60" customFormat="1">
      <c r="A177"/>
      <c r="B177"/>
      <c r="C177"/>
      <c r="D177"/>
      <c r="E177"/>
      <c r="F177" s="58"/>
      <c r="G177" s="58"/>
      <c r="H177" s="58"/>
      <c r="I177" s="58"/>
      <c r="J177"/>
    </row>
    <row r="178" spans="1:10" s="60" customFormat="1">
      <c r="A178"/>
      <c r="B178"/>
      <c r="C178"/>
      <c r="D178"/>
      <c r="E178"/>
      <c r="F178" s="58"/>
      <c r="G178" s="58"/>
      <c r="H178" s="58"/>
      <c r="I178" s="58"/>
      <c r="J178"/>
    </row>
    <row r="179" spans="1:10" s="60" customFormat="1">
      <c r="A179"/>
      <c r="B179"/>
      <c r="C179"/>
      <c r="D179"/>
      <c r="E179"/>
      <c r="F179" s="58"/>
      <c r="G179" s="58"/>
      <c r="H179" s="58"/>
      <c r="I179" s="58"/>
      <c r="J179"/>
    </row>
    <row r="180" spans="1:10" s="60" customFormat="1">
      <c r="A180"/>
      <c r="B180"/>
      <c r="C180"/>
      <c r="D180"/>
      <c r="E180"/>
      <c r="F180" s="58"/>
      <c r="G180" s="58"/>
      <c r="H180" s="58"/>
      <c r="I180" s="58"/>
      <c r="J180"/>
    </row>
    <row r="181" spans="1:10" s="60" customFormat="1">
      <c r="A181"/>
      <c r="B181"/>
      <c r="C181"/>
      <c r="D181"/>
      <c r="E181"/>
      <c r="F181" s="58"/>
      <c r="G181" s="58"/>
      <c r="H181" s="58"/>
      <c r="I181" s="58"/>
      <c r="J181"/>
    </row>
    <row r="182" spans="1:10" s="60" customFormat="1">
      <c r="A182"/>
      <c r="B182"/>
      <c r="C182"/>
      <c r="D182"/>
      <c r="E182"/>
      <c r="F182" s="58"/>
      <c r="G182" s="58"/>
      <c r="H182" s="58"/>
      <c r="I182" s="58"/>
      <c r="J182"/>
    </row>
    <row r="183" spans="1:10" s="60" customFormat="1">
      <c r="A183"/>
      <c r="B183"/>
      <c r="C183"/>
      <c r="D183"/>
      <c r="E183"/>
      <c r="F183" s="58"/>
      <c r="G183" s="58"/>
      <c r="H183" s="58"/>
      <c r="I183" s="58"/>
      <c r="J183"/>
    </row>
    <row r="184" spans="1:10" s="60" customFormat="1">
      <c r="A184"/>
      <c r="B184"/>
      <c r="C184"/>
      <c r="D184"/>
      <c r="E184"/>
      <c r="F184" s="58"/>
      <c r="G184" s="58"/>
      <c r="H184" s="58"/>
      <c r="I184" s="58"/>
      <c r="J184"/>
    </row>
    <row r="185" spans="1:10" s="60" customFormat="1">
      <c r="A185"/>
      <c r="B185"/>
      <c r="C185"/>
      <c r="D185"/>
      <c r="E185"/>
      <c r="F185" s="58"/>
      <c r="G185" s="58"/>
      <c r="H185" s="58"/>
      <c r="I185" s="58"/>
      <c r="J185"/>
    </row>
    <row r="186" spans="1:10" s="60" customFormat="1">
      <c r="A186"/>
      <c r="B186"/>
      <c r="C186"/>
      <c r="D186"/>
      <c r="E186"/>
      <c r="F186" s="58"/>
      <c r="G186" s="58"/>
      <c r="H186" s="58"/>
      <c r="I186" s="58"/>
      <c r="J186"/>
    </row>
    <row r="187" spans="1:10" s="60" customFormat="1">
      <c r="A187"/>
      <c r="B187"/>
      <c r="C187"/>
      <c r="D187"/>
      <c r="E187"/>
      <c r="F187" s="58"/>
      <c r="G187" s="58"/>
      <c r="H187" s="58"/>
      <c r="I187" s="58"/>
      <c r="J187"/>
    </row>
    <row r="188" spans="1:10" s="60" customFormat="1">
      <c r="A188"/>
      <c r="B188"/>
      <c r="C188"/>
      <c r="D188"/>
      <c r="E188"/>
      <c r="F188" s="58"/>
      <c r="G188" s="58"/>
      <c r="H188" s="58"/>
      <c r="I188" s="58"/>
      <c r="J188"/>
    </row>
    <row r="189" spans="1:10" s="60" customFormat="1">
      <c r="A189"/>
      <c r="B189"/>
      <c r="C189"/>
      <c r="D189"/>
      <c r="E189"/>
      <c r="F189" s="58"/>
      <c r="G189" s="58"/>
      <c r="H189" s="58"/>
      <c r="I189" s="58"/>
      <c r="J189"/>
    </row>
    <row r="190" spans="1:10" s="60" customFormat="1">
      <c r="A190"/>
      <c r="B190"/>
      <c r="C190"/>
      <c r="D190"/>
      <c r="E190"/>
      <c r="F190" s="58"/>
      <c r="G190" s="58"/>
      <c r="H190" s="58"/>
      <c r="I190" s="58"/>
      <c r="J190"/>
    </row>
    <row r="191" spans="1:10" s="60" customFormat="1">
      <c r="A191"/>
      <c r="B191"/>
      <c r="C191"/>
      <c r="D191"/>
      <c r="E191"/>
      <c r="F191" s="58"/>
      <c r="G191" s="58"/>
      <c r="H191" s="58"/>
      <c r="I191" s="58"/>
      <c r="J191"/>
    </row>
    <row r="192" spans="1:10" s="60" customFormat="1">
      <c r="A192"/>
      <c r="B192"/>
      <c r="C192"/>
      <c r="D192"/>
      <c r="E192"/>
      <c r="F192" s="58"/>
      <c r="G192" s="58"/>
      <c r="H192" s="58"/>
      <c r="I192" s="58"/>
      <c r="J192"/>
    </row>
    <row r="193" spans="1:10" s="60" customFormat="1">
      <c r="A193"/>
      <c r="B193"/>
      <c r="C193"/>
      <c r="D193"/>
      <c r="E193"/>
      <c r="F193" s="58"/>
      <c r="G193" s="58"/>
      <c r="H193" s="58"/>
      <c r="I193" s="58"/>
      <c r="J193"/>
    </row>
    <row r="194" spans="1:10" s="60" customFormat="1">
      <c r="A194"/>
      <c r="B194"/>
      <c r="C194"/>
      <c r="D194"/>
      <c r="E194"/>
      <c r="F194" s="58"/>
      <c r="G194" s="58"/>
      <c r="H194" s="58"/>
      <c r="I194" s="58"/>
      <c r="J194"/>
    </row>
    <row r="195" spans="1:10" s="60" customFormat="1">
      <c r="A195"/>
      <c r="B195"/>
      <c r="C195"/>
      <c r="D195"/>
      <c r="E195"/>
      <c r="F195" s="58"/>
      <c r="G195" s="58"/>
      <c r="H195" s="58"/>
      <c r="I195" s="58"/>
      <c r="J195"/>
    </row>
    <row r="196" spans="1:10" s="60" customFormat="1">
      <c r="A196"/>
      <c r="B196"/>
      <c r="C196"/>
      <c r="D196"/>
      <c r="E196"/>
      <c r="F196" s="58"/>
      <c r="G196" s="58"/>
      <c r="H196" s="58"/>
      <c r="I196" s="58"/>
      <c r="J196"/>
    </row>
    <row r="197" spans="1:10" s="60" customFormat="1">
      <c r="A197"/>
      <c r="B197"/>
      <c r="C197"/>
      <c r="D197"/>
      <c r="E197"/>
      <c r="F197" s="58"/>
      <c r="G197" s="58"/>
      <c r="H197" s="58"/>
      <c r="I197" s="58"/>
      <c r="J197"/>
    </row>
    <row r="198" spans="1:10" s="60" customFormat="1">
      <c r="A198"/>
      <c r="B198"/>
      <c r="C198"/>
      <c r="D198"/>
      <c r="E198"/>
      <c r="F198" s="58"/>
      <c r="G198" s="58"/>
      <c r="H198" s="58"/>
      <c r="I198" s="58"/>
      <c r="J198"/>
    </row>
    <row r="199" spans="1:10" s="60" customFormat="1">
      <c r="A199"/>
      <c r="B199"/>
      <c r="C199"/>
      <c r="D199"/>
      <c r="E199"/>
      <c r="F199" s="58"/>
      <c r="G199" s="58"/>
      <c r="H199" s="58"/>
      <c r="I199" s="58"/>
      <c r="J199"/>
    </row>
    <row r="200" spans="1:10" s="60" customFormat="1">
      <c r="A200"/>
      <c r="B200"/>
      <c r="C200"/>
      <c r="D200"/>
      <c r="E200"/>
      <c r="F200" s="58"/>
      <c r="G200" s="58"/>
      <c r="H200" s="58"/>
      <c r="I200" s="58"/>
      <c r="J200"/>
    </row>
    <row r="201" spans="1:10" s="60" customFormat="1">
      <c r="A201"/>
      <c r="B201"/>
      <c r="C201"/>
      <c r="D201"/>
      <c r="E201"/>
      <c r="F201" s="58"/>
      <c r="G201" s="58"/>
      <c r="H201" s="58"/>
      <c r="I201" s="58"/>
      <c r="J201"/>
    </row>
    <row r="202" spans="1:10" s="60" customFormat="1">
      <c r="A202"/>
      <c r="B202"/>
      <c r="C202"/>
      <c r="D202"/>
      <c r="E202"/>
      <c r="F202" s="58"/>
      <c r="G202" s="58"/>
      <c r="H202" s="58"/>
      <c r="I202" s="58"/>
      <c r="J202"/>
    </row>
    <row r="203" spans="1:10" s="60" customFormat="1">
      <c r="A203"/>
      <c r="B203"/>
      <c r="C203"/>
      <c r="D203"/>
      <c r="E203"/>
      <c r="F203" s="58"/>
      <c r="G203" s="58"/>
      <c r="H203" s="58"/>
      <c r="I203" s="58"/>
      <c r="J203"/>
    </row>
    <row r="204" spans="1:10" s="60" customFormat="1">
      <c r="A204"/>
      <c r="B204"/>
      <c r="C204"/>
      <c r="D204"/>
      <c r="E204"/>
      <c r="F204" s="58"/>
      <c r="G204" s="58"/>
      <c r="H204" s="58"/>
      <c r="I204" s="58"/>
      <c r="J204"/>
    </row>
    <row r="205" spans="1:10" s="60" customFormat="1">
      <c r="A205"/>
      <c r="B205"/>
      <c r="C205"/>
      <c r="D205"/>
      <c r="E205"/>
      <c r="F205" s="58"/>
      <c r="G205" s="58"/>
      <c r="H205" s="58"/>
      <c r="I205" s="58"/>
      <c r="J205"/>
    </row>
    <row r="206" spans="1:10" s="60" customFormat="1">
      <c r="A206"/>
      <c r="B206"/>
      <c r="C206"/>
      <c r="D206"/>
      <c r="E206"/>
      <c r="F206" s="58"/>
      <c r="G206" s="58"/>
      <c r="H206" s="58"/>
      <c r="I206" s="58"/>
      <c r="J206"/>
    </row>
    <row r="207" spans="1:10" s="60" customFormat="1">
      <c r="A207"/>
      <c r="B207"/>
      <c r="C207"/>
      <c r="D207"/>
      <c r="E207"/>
      <c r="F207" s="58"/>
      <c r="G207" s="58"/>
      <c r="H207" s="58"/>
      <c r="I207" s="58"/>
      <c r="J207"/>
    </row>
    <row r="208" spans="1:10" s="60" customFormat="1">
      <c r="A208"/>
      <c r="B208"/>
      <c r="C208"/>
      <c r="D208"/>
      <c r="E208"/>
      <c r="F208" s="58"/>
      <c r="G208" s="58"/>
      <c r="H208" s="58"/>
      <c r="I208" s="58"/>
      <c r="J208"/>
    </row>
    <row r="209" spans="1:10" s="60" customFormat="1">
      <c r="A209"/>
      <c r="B209"/>
      <c r="C209"/>
      <c r="D209"/>
      <c r="E209"/>
      <c r="F209" s="58"/>
      <c r="G209" s="58"/>
      <c r="H209" s="58"/>
      <c r="I209" s="58"/>
      <c r="J209"/>
    </row>
    <row r="210" spans="1:10" s="60" customFormat="1">
      <c r="A210"/>
      <c r="B210"/>
      <c r="C210"/>
      <c r="D210"/>
      <c r="E210"/>
      <c r="F210" s="58"/>
      <c r="G210" s="58"/>
      <c r="H210" s="58"/>
      <c r="I210" s="58"/>
      <c r="J210"/>
    </row>
    <row r="211" spans="1:10" s="60" customFormat="1">
      <c r="A211"/>
      <c r="B211"/>
      <c r="C211"/>
      <c r="D211"/>
      <c r="E211"/>
      <c r="F211" s="58"/>
      <c r="G211" s="58"/>
      <c r="H211" s="58"/>
      <c r="I211" s="58"/>
      <c r="J211"/>
    </row>
    <row r="212" spans="1:10" s="60" customFormat="1">
      <c r="A212"/>
      <c r="B212"/>
      <c r="C212"/>
      <c r="D212"/>
      <c r="E212"/>
      <c r="F212" s="58"/>
      <c r="G212" s="58"/>
      <c r="H212" s="58"/>
      <c r="I212" s="58"/>
      <c r="J212"/>
    </row>
    <row r="213" spans="1:10" s="60" customFormat="1">
      <c r="A213"/>
      <c r="B213"/>
      <c r="C213"/>
      <c r="D213"/>
      <c r="E213"/>
      <c r="F213" s="58"/>
      <c r="G213" s="58"/>
      <c r="H213" s="58"/>
      <c r="I213" s="58"/>
      <c r="J213"/>
    </row>
    <row r="214" spans="1:10" s="60" customFormat="1">
      <c r="A214"/>
      <c r="B214"/>
      <c r="C214"/>
      <c r="D214"/>
      <c r="E214"/>
      <c r="F214" s="58"/>
      <c r="G214" s="58"/>
      <c r="H214" s="58"/>
      <c r="I214" s="58"/>
      <c r="J214"/>
    </row>
    <row r="215" spans="1:10" s="60" customFormat="1">
      <c r="A215"/>
      <c r="B215"/>
      <c r="C215"/>
      <c r="D215"/>
      <c r="E215"/>
      <c r="F215" s="58"/>
      <c r="G215" s="58"/>
      <c r="H215" s="58"/>
      <c r="I215" s="58"/>
      <c r="J215"/>
    </row>
    <row r="216" spans="1:10" s="60" customFormat="1">
      <c r="A216"/>
      <c r="B216"/>
      <c r="C216"/>
      <c r="D216"/>
      <c r="E216"/>
      <c r="F216" s="58"/>
      <c r="G216" s="58"/>
      <c r="H216" s="58"/>
      <c r="I216" s="58"/>
      <c r="J216"/>
    </row>
    <row r="217" spans="1:10" s="60" customFormat="1">
      <c r="A217"/>
      <c r="B217"/>
      <c r="C217"/>
      <c r="D217"/>
      <c r="E217"/>
      <c r="F217" s="58"/>
      <c r="G217" s="58"/>
      <c r="H217" s="58"/>
      <c r="I217" s="58"/>
      <c r="J217"/>
    </row>
    <row r="218" spans="1:10" s="60" customFormat="1">
      <c r="A218"/>
      <c r="B218"/>
      <c r="C218"/>
      <c r="D218"/>
      <c r="E218"/>
      <c r="F218" s="58"/>
      <c r="G218" s="58"/>
      <c r="H218" s="58"/>
      <c r="I218" s="58"/>
      <c r="J218"/>
    </row>
    <row r="219" spans="1:10" s="60" customFormat="1">
      <c r="A219"/>
      <c r="B219"/>
      <c r="C219"/>
      <c r="D219"/>
      <c r="E219"/>
      <c r="F219" s="58"/>
      <c r="G219" s="58"/>
      <c r="H219" s="58"/>
      <c r="I219" s="58"/>
      <c r="J219"/>
    </row>
    <row r="220" spans="1:10" s="60" customFormat="1">
      <c r="A220"/>
      <c r="B220"/>
      <c r="C220"/>
      <c r="D220"/>
      <c r="E220"/>
      <c r="F220" s="58"/>
      <c r="G220" s="58"/>
      <c r="H220" s="58"/>
      <c r="I220" s="58"/>
      <c r="J220"/>
    </row>
    <row r="221" spans="1:10" s="60" customFormat="1">
      <c r="A221"/>
      <c r="B221"/>
      <c r="C221"/>
      <c r="D221"/>
      <c r="E221"/>
      <c r="F221" s="58"/>
      <c r="G221" s="58"/>
      <c r="H221" s="58"/>
      <c r="I221" s="58"/>
      <c r="J221"/>
    </row>
    <row r="222" spans="1:10" s="60" customFormat="1">
      <c r="A222"/>
      <c r="B222"/>
      <c r="C222"/>
      <c r="D222"/>
      <c r="E222"/>
      <c r="F222" s="58"/>
      <c r="G222" s="58"/>
      <c r="H222" s="58"/>
      <c r="I222" s="58"/>
      <c r="J222"/>
    </row>
    <row r="223" spans="1:10" s="60" customFormat="1">
      <c r="A223"/>
      <c r="B223"/>
      <c r="C223"/>
      <c r="D223"/>
      <c r="E223"/>
      <c r="F223" s="58"/>
      <c r="G223" s="58"/>
      <c r="H223" s="58"/>
      <c r="I223" s="58"/>
      <c r="J223"/>
    </row>
    <row r="224" spans="1:10" s="60" customFormat="1">
      <c r="A224"/>
      <c r="B224"/>
      <c r="C224"/>
      <c r="D224"/>
      <c r="E224"/>
      <c r="F224" s="58"/>
      <c r="G224" s="58"/>
      <c r="H224" s="58"/>
      <c r="I224" s="58"/>
      <c r="J224"/>
    </row>
    <row r="225" spans="1:10" s="60" customFormat="1">
      <c r="A225"/>
      <c r="B225"/>
      <c r="C225"/>
      <c r="D225"/>
      <c r="E225"/>
      <c r="F225" s="58"/>
      <c r="G225" s="58"/>
      <c r="H225" s="58"/>
      <c r="I225" s="58"/>
      <c r="J225"/>
    </row>
    <row r="226" spans="1:10" s="60" customFormat="1">
      <c r="A226"/>
      <c r="B226"/>
      <c r="C226"/>
      <c r="D226"/>
      <c r="E226"/>
      <c r="F226" s="58"/>
      <c r="G226" s="58"/>
      <c r="H226" s="58"/>
      <c r="I226" s="58"/>
      <c r="J226"/>
    </row>
    <row r="227" spans="1:10" s="60" customFormat="1">
      <c r="A227"/>
      <c r="B227"/>
      <c r="C227"/>
      <c r="D227"/>
      <c r="E227"/>
      <c r="F227" s="58"/>
      <c r="G227" s="58"/>
      <c r="H227" s="58"/>
      <c r="I227" s="58"/>
      <c r="J227"/>
    </row>
    <row r="228" spans="1:10" s="60" customFormat="1">
      <c r="A228"/>
      <c r="B228"/>
      <c r="C228"/>
      <c r="D228"/>
      <c r="E228"/>
      <c r="F228" s="58"/>
      <c r="G228" s="58"/>
      <c r="H228" s="58"/>
      <c r="I228" s="58"/>
      <c r="J228"/>
    </row>
    <row r="229" spans="1:10" s="60" customFormat="1">
      <c r="A229"/>
      <c r="B229"/>
      <c r="C229"/>
      <c r="D229"/>
      <c r="E229"/>
      <c r="F229" s="58"/>
      <c r="G229" s="58"/>
      <c r="H229" s="58"/>
      <c r="I229" s="58"/>
      <c r="J229"/>
    </row>
    <row r="230" spans="1:10" s="60" customFormat="1">
      <c r="A230"/>
      <c r="B230"/>
      <c r="C230"/>
      <c r="D230"/>
      <c r="E230"/>
      <c r="F230" s="58"/>
      <c r="G230" s="58"/>
      <c r="H230" s="58"/>
      <c r="I230" s="58"/>
      <c r="J230"/>
    </row>
    <row r="231" spans="1:10" s="60" customFormat="1">
      <c r="A231"/>
      <c r="B231"/>
      <c r="C231"/>
      <c r="D231"/>
      <c r="E231"/>
      <c r="F231" s="58"/>
      <c r="G231" s="58"/>
      <c r="H231" s="58"/>
      <c r="I231" s="58"/>
      <c r="J231"/>
    </row>
    <row r="232" spans="1:10" s="60" customFormat="1">
      <c r="A232"/>
      <c r="B232"/>
      <c r="C232"/>
      <c r="D232"/>
      <c r="E232"/>
      <c r="F232" s="58"/>
      <c r="G232" s="58"/>
      <c r="H232" s="58"/>
      <c r="I232" s="58"/>
      <c r="J232"/>
    </row>
    <row r="233" spans="1:10" s="60" customFormat="1">
      <c r="A233"/>
      <c r="B233"/>
      <c r="C233"/>
      <c r="D233"/>
      <c r="E233"/>
      <c r="F233" s="58"/>
      <c r="G233" s="58"/>
      <c r="H233" s="58"/>
      <c r="I233" s="58"/>
      <c r="J233"/>
    </row>
    <row r="234" spans="1:10" s="60" customFormat="1">
      <c r="A234"/>
      <c r="B234"/>
      <c r="C234"/>
      <c r="D234"/>
      <c r="E234"/>
      <c r="F234" s="58"/>
      <c r="G234" s="58"/>
      <c r="H234" s="58"/>
      <c r="I234" s="58"/>
      <c r="J234"/>
    </row>
    <row r="235" spans="1:10" s="60" customFormat="1">
      <c r="A235"/>
      <c r="B235"/>
      <c r="C235"/>
      <c r="D235"/>
      <c r="E235"/>
      <c r="F235" s="58"/>
      <c r="G235" s="58"/>
      <c r="H235" s="58"/>
      <c r="I235" s="58"/>
      <c r="J235"/>
    </row>
    <row r="236" spans="1:10" s="60" customFormat="1">
      <c r="A236"/>
      <c r="B236"/>
      <c r="C236"/>
      <c r="D236"/>
      <c r="E236"/>
      <c r="F236" s="58"/>
      <c r="G236" s="58"/>
      <c r="H236" s="58"/>
      <c r="I236" s="58"/>
      <c r="J236"/>
    </row>
    <row r="237" spans="1:10" s="60" customFormat="1">
      <c r="A237"/>
      <c r="B237"/>
      <c r="C237"/>
      <c r="D237"/>
      <c r="E237"/>
      <c r="F237" s="58"/>
      <c r="G237" s="58"/>
      <c r="H237" s="58"/>
      <c r="I237" s="58"/>
      <c r="J237"/>
    </row>
    <row r="238" spans="1:10" s="60" customFormat="1">
      <c r="A238"/>
      <c r="B238"/>
      <c r="C238"/>
      <c r="D238"/>
      <c r="E238"/>
      <c r="F238" s="58"/>
      <c r="G238" s="58"/>
      <c r="H238" s="58"/>
      <c r="I238" s="58"/>
      <c r="J238"/>
    </row>
    <row r="239" spans="1:10" s="60" customFormat="1">
      <c r="A239"/>
      <c r="B239"/>
      <c r="C239"/>
      <c r="D239"/>
      <c r="E239"/>
      <c r="F239" s="58"/>
      <c r="G239" s="58"/>
      <c r="H239" s="58"/>
      <c r="I239" s="58"/>
      <c r="J239"/>
    </row>
    <row r="240" spans="1:10" s="60" customFormat="1">
      <c r="A240"/>
      <c r="B240"/>
      <c r="C240"/>
      <c r="D240"/>
      <c r="E240"/>
      <c r="F240" s="58"/>
      <c r="G240" s="58"/>
      <c r="H240" s="58"/>
      <c r="I240" s="58"/>
      <c r="J240"/>
    </row>
    <row r="241" spans="1:10" s="60" customFormat="1">
      <c r="A241"/>
      <c r="B241"/>
      <c r="C241"/>
      <c r="D241"/>
      <c r="E241"/>
      <c r="F241" s="58"/>
      <c r="G241" s="58"/>
      <c r="H241" s="58"/>
      <c r="I241" s="58"/>
      <c r="J241"/>
    </row>
    <row r="242" spans="1:10" s="60" customFormat="1">
      <c r="A242"/>
      <c r="B242"/>
      <c r="C242"/>
      <c r="D242"/>
      <c r="E242"/>
      <c r="F242" s="58"/>
      <c r="G242" s="58"/>
      <c r="H242" s="58"/>
      <c r="I242" s="58"/>
      <c r="J242"/>
    </row>
  </sheetData>
  <sheetProtection selectLockedCells="1"/>
  <mergeCells count="3">
    <mergeCell ref="B21:E21"/>
    <mergeCell ref="A8:E8"/>
    <mergeCell ref="B15:D15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8">
    <tabColor rgb="FF92D050"/>
  </sheetPr>
  <dimension ref="A1:J274"/>
  <sheetViews>
    <sheetView zoomScaleNormal="100" workbookViewId="0">
      <selection activeCell="G24" sqref="G24"/>
    </sheetView>
  </sheetViews>
  <sheetFormatPr defaultRowHeight="13.5"/>
  <cols>
    <col min="1" max="1" width="1.25" customWidth="1"/>
    <col min="2" max="2" width="12.625" style="156" customWidth="1"/>
    <col min="3" max="4" width="16.625" style="156" customWidth="1"/>
    <col min="5" max="5" width="0.875" customWidth="1"/>
    <col min="6" max="6" width="10.625" style="156" customWidth="1"/>
    <col min="7" max="7" width="8.125" style="156" customWidth="1"/>
    <col min="8" max="8" width="21.625" style="156" customWidth="1"/>
    <col min="9" max="9" width="0.875" customWidth="1"/>
  </cols>
  <sheetData>
    <row r="1" spans="1:9" ht="13.5" customHeight="1">
      <c r="I1" s="23"/>
    </row>
    <row r="2" spans="1:9" ht="21" customHeight="1">
      <c r="C2" s="307" t="s">
        <v>94</v>
      </c>
      <c r="D2" s="307"/>
      <c r="E2" s="307"/>
      <c r="F2" s="307"/>
      <c r="G2" s="307"/>
      <c r="H2" s="307"/>
      <c r="I2" s="23"/>
    </row>
    <row r="3" spans="1:9" ht="15.75" customHeight="1">
      <c r="C3" s="308" t="s">
        <v>95</v>
      </c>
      <c r="D3" s="308"/>
      <c r="E3" s="308"/>
      <c r="F3" s="308"/>
      <c r="G3" s="308"/>
      <c r="H3" s="308"/>
      <c r="I3" s="23"/>
    </row>
    <row r="4" spans="1:9" ht="2.1" customHeight="1"/>
    <row r="5" spans="1:9" ht="2.1" customHeight="1">
      <c r="A5" s="24"/>
      <c r="B5" s="177"/>
      <c r="C5" s="341"/>
      <c r="D5" s="341"/>
      <c r="E5" s="25"/>
      <c r="F5" s="185"/>
      <c r="G5" s="26"/>
      <c r="H5" s="26"/>
      <c r="I5" s="23"/>
    </row>
    <row r="6" spans="1:9" ht="2.4500000000000002" customHeight="1">
      <c r="A6" s="23"/>
      <c r="B6" s="177"/>
      <c r="C6" s="26"/>
      <c r="D6" s="26"/>
      <c r="E6" s="26"/>
      <c r="F6" s="26"/>
      <c r="G6" s="26"/>
      <c r="H6" s="26"/>
      <c r="I6" s="23"/>
    </row>
    <row r="7" spans="1:9" ht="24.95" customHeight="1">
      <c r="A7" s="342" t="s">
        <v>278</v>
      </c>
      <c r="B7" s="342"/>
      <c r="C7" s="342"/>
      <c r="D7" s="342"/>
      <c r="E7" s="342"/>
      <c r="F7" s="342"/>
      <c r="G7" s="342"/>
      <c r="H7" s="342"/>
      <c r="I7" s="342"/>
    </row>
    <row r="8" spans="1:9" ht="14.1" customHeight="1">
      <c r="A8" s="130" t="s">
        <v>282</v>
      </c>
      <c r="B8" s="178"/>
      <c r="C8" s="181"/>
      <c r="D8" s="181"/>
      <c r="E8" s="27"/>
      <c r="F8" s="345" t="s">
        <v>97</v>
      </c>
      <c r="G8" s="345"/>
      <c r="H8" s="187" t="str">
        <f>"BC"&amp;TEXT(数据源!B2,"00000000000")</f>
        <v>BC00000000000</v>
      </c>
      <c r="I8" s="131"/>
    </row>
    <row r="9" spans="1:9" ht="3" customHeight="1">
      <c r="A9" s="28"/>
      <c r="B9" s="179"/>
      <c r="C9" s="179"/>
      <c r="D9" s="179"/>
      <c r="E9" s="28"/>
      <c r="F9" s="186"/>
      <c r="G9" s="186"/>
      <c r="H9" s="186"/>
      <c r="I9" s="132"/>
    </row>
    <row r="10" spans="1:9" ht="16.5">
      <c r="A10" s="337" t="s">
        <v>112</v>
      </c>
      <c r="B10" s="337"/>
      <c r="C10" s="346">
        <f>数据源!G11</f>
        <v>0</v>
      </c>
      <c r="D10" s="347"/>
      <c r="E10" s="343" t="s">
        <v>108</v>
      </c>
      <c r="F10" s="343"/>
      <c r="G10" s="349">
        <f>数据源!O4</f>
        <v>0</v>
      </c>
      <c r="H10" s="349"/>
      <c r="I10" s="349"/>
    </row>
    <row r="11" spans="1:9" ht="19.5" customHeight="1">
      <c r="A11" s="344" t="s">
        <v>113</v>
      </c>
      <c r="B11" s="344"/>
      <c r="C11" s="348" t="str">
        <f>TEXT(数据源!B4,"#")&amp;数据源!B5</f>
        <v/>
      </c>
      <c r="D11" s="349"/>
      <c r="E11" s="343" t="s">
        <v>99</v>
      </c>
      <c r="F11" s="343"/>
      <c r="G11" s="349" t="str">
        <f>TEXT(数据源!B2,"00000000000")</f>
        <v>00000000000</v>
      </c>
      <c r="H11" s="349"/>
      <c r="I11" s="349"/>
    </row>
    <row r="12" spans="1:9" ht="19.5" customHeight="1">
      <c r="A12" s="352" t="s">
        <v>86</v>
      </c>
      <c r="B12" s="352"/>
      <c r="C12" s="349" t="str">
        <f>LEFT(数据源!B18,4)&amp;"/"&amp;MID(数据源!B18,5,2)&amp;"/"&amp;MID(数据源!B18,7,2)</f>
        <v>//</v>
      </c>
      <c r="D12" s="349"/>
      <c r="E12" s="343" t="s">
        <v>114</v>
      </c>
      <c r="F12" s="343"/>
      <c r="G12" s="349">
        <f>数据源!B3</f>
        <v>0</v>
      </c>
      <c r="H12" s="349"/>
      <c r="I12" s="349"/>
    </row>
    <row r="13" spans="1:9" ht="19.5" customHeight="1">
      <c r="A13" s="335" t="s">
        <v>115</v>
      </c>
      <c r="B13" s="335"/>
      <c r="C13" s="349" t="e">
        <f>LEFT(G10,SEARCH("-",G10)-1)</f>
        <v>#VALUE!</v>
      </c>
      <c r="D13" s="349"/>
      <c r="E13" s="343" t="s">
        <v>102</v>
      </c>
      <c r="F13" s="343"/>
      <c r="G13" s="349" t="e">
        <f>数据修正!V2</f>
        <v>#N/A</v>
      </c>
      <c r="H13" s="349"/>
      <c r="I13" s="349"/>
    </row>
    <row r="14" spans="1:9" ht="18" customHeight="1">
      <c r="A14" s="335" t="s">
        <v>111</v>
      </c>
      <c r="B14" s="335"/>
      <c r="C14" s="349">
        <f>数据源!B14</f>
        <v>0</v>
      </c>
      <c r="D14" s="349"/>
      <c r="E14" s="349"/>
      <c r="F14" s="349"/>
      <c r="G14" s="349"/>
      <c r="H14" s="349"/>
      <c r="I14" s="349"/>
    </row>
    <row r="15" spans="1:9" ht="3" customHeight="1">
      <c r="A15" s="29"/>
      <c r="B15" s="180"/>
      <c r="C15" s="182"/>
      <c r="D15" s="184"/>
      <c r="E15" s="30"/>
      <c r="F15" s="184"/>
      <c r="G15" s="184"/>
      <c r="H15" s="184"/>
      <c r="I15" s="30"/>
    </row>
    <row r="16" spans="1:9" ht="23.25" customHeight="1">
      <c r="A16" s="350" t="s">
        <v>89</v>
      </c>
      <c r="B16" s="350"/>
      <c r="C16" s="350"/>
      <c r="D16" s="350"/>
      <c r="E16" s="350"/>
      <c r="F16" s="350"/>
      <c r="G16" s="350"/>
      <c r="H16" s="350"/>
      <c r="I16" s="350"/>
    </row>
    <row r="17" spans="1:10" ht="19.5" customHeight="1">
      <c r="A17" s="133"/>
      <c r="B17" s="134" t="s">
        <v>91</v>
      </c>
      <c r="C17" s="183" t="s">
        <v>96</v>
      </c>
      <c r="D17" s="351" t="s">
        <v>89</v>
      </c>
      <c r="E17" s="351"/>
      <c r="F17" s="134" t="s">
        <v>104</v>
      </c>
      <c r="G17" s="134" t="s">
        <v>106</v>
      </c>
      <c r="H17" s="351" t="s">
        <v>107</v>
      </c>
      <c r="I17" s="351"/>
    </row>
    <row r="18" spans="1:10" s="97" customFormat="1" ht="16.5">
      <c r="A18" s="257"/>
      <c r="B18" s="277"/>
      <c r="C18" s="258"/>
      <c r="D18" s="258"/>
      <c r="E18" s="258"/>
      <c r="F18" s="258"/>
      <c r="G18" s="258"/>
      <c r="H18" s="258"/>
      <c r="I18" s="129"/>
      <c r="J18"/>
    </row>
    <row r="19" spans="1:10" s="97" customFormat="1" ht="16.5">
      <c r="A19" s="258"/>
      <c r="B19" s="258" t="s">
        <v>219</v>
      </c>
      <c r="C19" s="258"/>
      <c r="D19" s="258"/>
      <c r="E19" s="258"/>
      <c r="F19" s="258"/>
      <c r="G19" s="258"/>
      <c r="H19" s="258"/>
      <c r="I19" s="129"/>
      <c r="J19"/>
    </row>
    <row r="20" spans="1:10" s="97" customFormat="1" ht="0.95" customHeight="1">
      <c r="A20" s="258"/>
      <c r="B20" s="258"/>
      <c r="C20" s="258"/>
      <c r="D20" s="258"/>
      <c r="E20" s="258"/>
      <c r="F20" s="258"/>
      <c r="G20" s="258"/>
      <c r="H20" s="258"/>
      <c r="I20" s="129"/>
    </row>
    <row r="21" spans="1:10" s="97" customFormat="1" ht="24.95" customHeight="1">
      <c r="A21" s="120" t="s">
        <v>90</v>
      </c>
      <c r="B21" s="165" t="s">
        <v>92</v>
      </c>
      <c r="C21" s="313" t="str">
        <f>数据修正!V7</f>
        <v>合格</v>
      </c>
      <c r="D21" s="313"/>
      <c r="E21" s="313"/>
      <c r="F21" s="313"/>
      <c r="G21" s="313"/>
      <c r="H21" s="313"/>
      <c r="I21" s="313"/>
      <c r="J21"/>
    </row>
    <row r="22" spans="1:10" s="97" customFormat="1" ht="39.75" customHeight="1">
      <c r="A22" s="122" t="s">
        <v>90</v>
      </c>
      <c r="B22" s="166" t="s">
        <v>93</v>
      </c>
      <c r="C22" s="314" t="str">
        <f>格式修正!Q5&amp;格式修正!S6&amp;格式修正!S7</f>
        <v xml:space="preserve">①未经本检验中心书面批准，不得复制（全文复制除外）检测报告。
</v>
      </c>
      <c r="D22" s="314"/>
      <c r="E22" s="314"/>
      <c r="F22" s="314"/>
      <c r="G22" s="314"/>
      <c r="H22" s="314"/>
      <c r="I22" s="314"/>
      <c r="J22"/>
    </row>
    <row r="23" spans="1:10" s="97" customFormat="1" ht="16.5">
      <c r="A23" s="124"/>
      <c r="B23" s="161" t="s">
        <v>229</v>
      </c>
      <c r="C23" s="159">
        <f>数据修正!X4</f>
        <v>0</v>
      </c>
      <c r="D23" s="159"/>
      <c r="E23" s="124"/>
      <c r="F23" s="161" t="s">
        <v>105</v>
      </c>
      <c r="G23" s="310">
        <f>数据修正!X5</f>
        <v>0</v>
      </c>
      <c r="H23" s="310"/>
      <c r="I23" s="210"/>
      <c r="J23"/>
    </row>
    <row r="24" spans="1:10" s="97" customFormat="1">
      <c r="A24" s="105"/>
      <c r="B24" s="155"/>
      <c r="C24" s="155"/>
      <c r="D24" s="155"/>
      <c r="E24" s="105"/>
      <c r="F24" s="155"/>
      <c r="G24" s="155"/>
      <c r="H24" s="155"/>
      <c r="I24" s="105"/>
      <c r="J24"/>
    </row>
    <row r="25" spans="1:10" s="97" customFormat="1">
      <c r="A25"/>
      <c r="B25" s="156"/>
      <c r="C25" s="156"/>
      <c r="D25" s="156"/>
      <c r="E25"/>
      <c r="F25" s="156"/>
      <c r="G25" s="156"/>
      <c r="H25" s="156"/>
      <c r="I25"/>
      <c r="J25"/>
    </row>
    <row r="26" spans="1:10" s="97" customFormat="1">
      <c r="A26"/>
      <c r="B26" s="156"/>
      <c r="C26" s="156"/>
      <c r="D26" s="156"/>
      <c r="E26"/>
      <c r="F26" s="156"/>
      <c r="G26" s="156"/>
      <c r="H26" s="156"/>
      <c r="I26"/>
      <c r="J26"/>
    </row>
    <row r="27" spans="1:10" s="97" customFormat="1">
      <c r="A27"/>
      <c r="B27" s="156"/>
      <c r="C27" s="156"/>
      <c r="D27" s="156"/>
      <c r="E27"/>
      <c r="F27" s="156"/>
      <c r="G27" s="156"/>
      <c r="H27" s="156"/>
      <c r="I27"/>
      <c r="J27"/>
    </row>
    <row r="28" spans="1:10" s="97" customFormat="1">
      <c r="A28"/>
      <c r="B28" s="156"/>
      <c r="C28" s="156"/>
      <c r="D28" s="156"/>
      <c r="E28"/>
      <c r="F28" s="156"/>
      <c r="G28" s="156"/>
      <c r="H28" s="156"/>
      <c r="I28"/>
      <c r="J28"/>
    </row>
    <row r="29" spans="1:10" s="97" customFormat="1">
      <c r="A29"/>
      <c r="B29" s="156"/>
      <c r="C29" s="156"/>
      <c r="D29" s="156"/>
      <c r="E29"/>
      <c r="F29" s="156"/>
      <c r="G29" s="156"/>
      <c r="H29" s="156"/>
      <c r="I29"/>
      <c r="J29"/>
    </row>
    <row r="33" ht="24.95" customHeight="1"/>
    <row r="34" ht="35.25" customHeight="1"/>
    <row r="35" ht="27.95" customHeight="1"/>
    <row r="258" ht="15.75" customHeight="1"/>
    <row r="259" ht="13.9" customHeight="1"/>
    <row r="274" ht="59.25" customHeight="1"/>
  </sheetData>
  <sheetProtection selectLockedCells="1"/>
  <mergeCells count="29">
    <mergeCell ref="G10:I10"/>
    <mergeCell ref="G11:I11"/>
    <mergeCell ref="G12:I12"/>
    <mergeCell ref="G13:I13"/>
    <mergeCell ref="C14:I14"/>
    <mergeCell ref="H17:I17"/>
    <mergeCell ref="C12:D12"/>
    <mergeCell ref="C13:D13"/>
    <mergeCell ref="A12:B12"/>
    <mergeCell ref="E12:F12"/>
    <mergeCell ref="A13:B13"/>
    <mergeCell ref="E13:F13"/>
    <mergeCell ref="A14:B14"/>
    <mergeCell ref="G23:H23"/>
    <mergeCell ref="C2:H2"/>
    <mergeCell ref="C3:H3"/>
    <mergeCell ref="C5:D5"/>
    <mergeCell ref="A7:I7"/>
    <mergeCell ref="A10:B10"/>
    <mergeCell ref="E10:F10"/>
    <mergeCell ref="A11:B11"/>
    <mergeCell ref="E11:F11"/>
    <mergeCell ref="F8:G8"/>
    <mergeCell ref="C10:D10"/>
    <mergeCell ref="C11:D11"/>
    <mergeCell ref="C21:I21"/>
    <mergeCell ref="C22:I22"/>
    <mergeCell ref="A16:I16"/>
    <mergeCell ref="D17:E17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&amp;C&amp;"微软雅黑,常规"&amp;9第 &amp;P 页，共 &amp;N 页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0">
    <tabColor rgb="FF92D050"/>
  </sheetPr>
  <dimension ref="A1:I26"/>
  <sheetViews>
    <sheetView showWhiteSpace="0" zoomScaleNormal="100" workbookViewId="0">
      <selection activeCell="H18" sqref="H18"/>
    </sheetView>
  </sheetViews>
  <sheetFormatPr defaultRowHeight="13.5"/>
  <cols>
    <col min="1" max="1" width="1.25" customWidth="1"/>
    <col min="2" max="2" width="14.625" style="156" customWidth="1"/>
    <col min="3" max="3" width="16.625" style="156" customWidth="1"/>
    <col min="4" max="4" width="15.625" style="156" customWidth="1"/>
    <col min="5" max="5" width="0.875" hidden="1" customWidth="1"/>
    <col min="6" max="7" width="10.625" style="156" customWidth="1"/>
    <col min="8" max="8" width="20.625" style="156" customWidth="1"/>
    <col min="9" max="9" width="0.875" customWidth="1"/>
  </cols>
  <sheetData>
    <row r="1" spans="1:9" ht="20.100000000000001" customHeight="1">
      <c r="A1" s="70"/>
      <c r="B1" s="200"/>
      <c r="C1" s="356" t="s">
        <v>135</v>
      </c>
      <c r="D1" s="356"/>
      <c r="E1" s="356"/>
      <c r="F1" s="356"/>
      <c r="G1" s="356"/>
      <c r="H1" s="201"/>
      <c r="I1" s="70"/>
    </row>
    <row r="2" spans="1:9" ht="15.95" customHeight="1">
      <c r="A2" s="70"/>
      <c r="B2" s="200"/>
      <c r="C2" s="357" t="s">
        <v>136</v>
      </c>
      <c r="D2" s="357"/>
      <c r="E2" s="357"/>
      <c r="F2" s="357"/>
      <c r="G2" s="357"/>
      <c r="H2" s="201"/>
      <c r="I2" s="70"/>
    </row>
    <row r="3" spans="1:9" ht="2.1" customHeight="1">
      <c r="A3" s="70"/>
      <c r="B3" s="200"/>
      <c r="C3" s="149"/>
      <c r="D3" s="149"/>
      <c r="E3" s="82"/>
      <c r="F3" s="149"/>
      <c r="G3" s="149"/>
      <c r="H3" s="201"/>
      <c r="I3" s="70"/>
    </row>
    <row r="4" spans="1:9" ht="2.1" customHeight="1">
      <c r="A4" s="70"/>
      <c r="B4" s="200"/>
      <c r="C4" s="149"/>
      <c r="D4" s="149"/>
      <c r="E4" s="82"/>
      <c r="F4" s="149"/>
      <c r="G4" s="149"/>
      <c r="H4" s="201"/>
      <c r="I4" s="70"/>
    </row>
    <row r="5" spans="1:9" ht="2.1" customHeight="1">
      <c r="A5" s="70"/>
      <c r="B5" s="201"/>
      <c r="C5" s="201"/>
      <c r="D5" s="201"/>
      <c r="E5" s="70"/>
      <c r="F5" s="201"/>
      <c r="G5" s="201"/>
      <c r="H5" s="201"/>
      <c r="I5" s="71"/>
    </row>
    <row r="6" spans="1:9" ht="24.95" customHeight="1">
      <c r="A6" s="358" t="s">
        <v>280</v>
      </c>
      <c r="B6" s="359"/>
      <c r="C6" s="359"/>
      <c r="D6" s="359"/>
      <c r="E6" s="359"/>
      <c r="F6" s="359"/>
      <c r="G6" s="359"/>
      <c r="H6" s="359"/>
      <c r="I6" s="359"/>
    </row>
    <row r="7" spans="1:9" ht="12" customHeight="1">
      <c r="A7" s="360" t="s">
        <v>279</v>
      </c>
      <c r="B7" s="360"/>
      <c r="C7" s="360"/>
      <c r="D7" s="360"/>
      <c r="E7" s="72"/>
      <c r="F7" s="139"/>
      <c r="G7" s="206" t="s">
        <v>137</v>
      </c>
      <c r="H7" s="361" t="str">
        <f>"C"&amp;TEXT(数据源!B2,"00000000000")</f>
        <v>C00000000000</v>
      </c>
      <c r="I7" s="361"/>
    </row>
    <row r="8" spans="1:9" ht="3" customHeight="1">
      <c r="A8" s="73"/>
      <c r="B8" s="202"/>
      <c r="C8" s="202"/>
      <c r="D8" s="202"/>
      <c r="E8" s="74"/>
      <c r="F8" s="150"/>
      <c r="G8" s="207"/>
      <c r="H8" s="207"/>
      <c r="I8" s="136"/>
    </row>
    <row r="9" spans="1:9" s="156" customFormat="1" ht="16.5">
      <c r="A9" s="364" t="s">
        <v>138</v>
      </c>
      <c r="B9" s="364"/>
      <c r="C9" s="363">
        <f>数据源!G2</f>
        <v>0</v>
      </c>
      <c r="D9" s="363"/>
      <c r="E9" s="364" t="s">
        <v>139</v>
      </c>
      <c r="F9" s="364"/>
      <c r="G9" s="364"/>
      <c r="H9" s="373">
        <f>数据源!O3</f>
        <v>0</v>
      </c>
      <c r="I9" s="373"/>
    </row>
    <row r="10" spans="1:9" ht="20.100000000000001" customHeight="1">
      <c r="A10" s="365" t="s">
        <v>140</v>
      </c>
      <c r="B10" s="365"/>
      <c r="C10" s="362" t="str">
        <f>TEXT(数据源!B7,"00000000")</f>
        <v>00000000</v>
      </c>
      <c r="D10" s="362"/>
      <c r="E10" s="365" t="s">
        <v>141</v>
      </c>
      <c r="F10" s="365"/>
      <c r="G10" s="365"/>
      <c r="H10" s="373" t="str">
        <f>TEXT(数据源!B2,"00000000000")</f>
        <v>00000000000</v>
      </c>
      <c r="I10" s="373"/>
    </row>
    <row r="11" spans="1:9" ht="20.100000000000001" customHeight="1">
      <c r="A11" s="365" t="s">
        <v>142</v>
      </c>
      <c r="B11" s="365"/>
      <c r="C11" s="362">
        <f>数据源!G7</f>
        <v>0</v>
      </c>
      <c r="D11" s="362"/>
      <c r="E11" s="365" t="s">
        <v>143</v>
      </c>
      <c r="F11" s="365"/>
      <c r="G11" s="365"/>
      <c r="H11" s="373">
        <f>数据源!O2</f>
        <v>0</v>
      </c>
      <c r="I11" s="373"/>
    </row>
    <row r="12" spans="1:9" ht="20.100000000000001" customHeight="1">
      <c r="A12" s="365" t="s">
        <v>144</v>
      </c>
      <c r="B12" s="365"/>
      <c r="C12" s="362" t="str">
        <f>TEXT(数据修正!V26,"#")&amp;数据修正!V23</f>
        <v>0</v>
      </c>
      <c r="D12" s="362"/>
      <c r="E12" s="365" t="s">
        <v>145</v>
      </c>
      <c r="F12" s="365"/>
      <c r="G12" s="365"/>
      <c r="H12" s="373">
        <f>数据修正!V24</f>
        <v>0</v>
      </c>
      <c r="I12" s="373"/>
    </row>
    <row r="13" spans="1:9" ht="20.100000000000001" customHeight="1">
      <c r="A13" s="365" t="s">
        <v>146</v>
      </c>
      <c r="B13" s="365"/>
      <c r="C13" s="371" t="str">
        <f>数据修正!X21</f>
        <v>0//</v>
      </c>
      <c r="D13" s="371"/>
      <c r="E13" s="365" t="s">
        <v>147</v>
      </c>
      <c r="F13" s="365"/>
      <c r="G13" s="365"/>
      <c r="H13" s="374" t="e">
        <f>数据修正!V16</f>
        <v>#N/A</v>
      </c>
      <c r="I13" s="374"/>
    </row>
    <row r="14" spans="1:9" ht="32.1" customHeight="1">
      <c r="A14" s="364" t="s">
        <v>220</v>
      </c>
      <c r="B14" s="364"/>
      <c r="C14" s="362" t="str">
        <f>数据源!G5&amp;数据修正!W1</f>
        <v>D</v>
      </c>
      <c r="D14" s="362"/>
      <c r="E14" s="365" t="s">
        <v>148</v>
      </c>
      <c r="F14" s="365"/>
      <c r="G14" s="365"/>
      <c r="H14" s="363">
        <f>数据源!G9</f>
        <v>0</v>
      </c>
      <c r="I14" s="363"/>
    </row>
    <row r="15" spans="1:9" ht="16.5">
      <c r="A15" s="365" t="s">
        <v>149</v>
      </c>
      <c r="B15" s="365"/>
      <c r="C15" s="372">
        <f>数据源!B14</f>
        <v>0</v>
      </c>
      <c r="D15" s="372"/>
      <c r="E15" s="372"/>
      <c r="F15" s="372"/>
      <c r="G15" s="372"/>
      <c r="H15" s="372"/>
      <c r="I15" s="372"/>
    </row>
    <row r="16" spans="1:9" ht="22.7" customHeight="1">
      <c r="A16" s="353" t="s">
        <v>150</v>
      </c>
      <c r="B16" s="353"/>
      <c r="C16" s="353"/>
      <c r="D16" s="353"/>
      <c r="E16" s="353"/>
      <c r="F16" s="353"/>
      <c r="G16" s="353"/>
      <c r="H16" s="353"/>
      <c r="I16" s="353"/>
    </row>
    <row r="17" spans="1:9" ht="42" customHeight="1">
      <c r="A17" s="143"/>
      <c r="B17" s="148" t="s">
        <v>151</v>
      </c>
      <c r="C17" s="140" t="s">
        <v>152</v>
      </c>
      <c r="D17" s="366" t="s">
        <v>153</v>
      </c>
      <c r="E17" s="366"/>
      <c r="F17" s="142" t="s">
        <v>154</v>
      </c>
      <c r="G17" s="144" t="s">
        <v>155</v>
      </c>
      <c r="H17" s="366" t="s">
        <v>156</v>
      </c>
      <c r="I17" s="366"/>
    </row>
    <row r="18" spans="1:9" ht="21" customHeight="1">
      <c r="A18" s="259"/>
      <c r="B18" s="275"/>
      <c r="C18" s="272"/>
      <c r="D18" s="272"/>
      <c r="E18" s="272"/>
      <c r="F18" s="272"/>
      <c r="G18" s="272"/>
      <c r="H18" s="272"/>
      <c r="I18" s="137"/>
    </row>
    <row r="19" spans="1:9" s="97" customFormat="1" ht="21" customHeight="1">
      <c r="A19" s="260"/>
      <c r="B19" s="272" t="s">
        <v>157</v>
      </c>
      <c r="C19" s="272"/>
      <c r="D19" s="272"/>
      <c r="E19" s="272"/>
      <c r="F19" s="272"/>
      <c r="G19" s="272"/>
      <c r="H19" s="272"/>
      <c r="I19" s="137"/>
    </row>
    <row r="20" spans="1:9" s="97" customFormat="1" ht="0.95" customHeight="1">
      <c r="A20" s="260"/>
      <c r="B20" s="272"/>
      <c r="C20" s="272"/>
      <c r="D20" s="272"/>
      <c r="E20" s="272"/>
      <c r="F20" s="272"/>
      <c r="G20" s="272"/>
      <c r="H20" s="272"/>
      <c r="I20" s="137"/>
    </row>
    <row r="21" spans="1:9" ht="32.1" customHeight="1">
      <c r="A21" s="367" t="s">
        <v>158</v>
      </c>
      <c r="B21" s="367"/>
      <c r="C21" s="355" t="str">
        <f>数据修正!W7</f>
        <v>This product has been tested and meets the requirements of Sirio Pharma company standards.</v>
      </c>
      <c r="D21" s="355"/>
      <c r="E21" s="355"/>
      <c r="F21" s="355"/>
      <c r="G21" s="355"/>
      <c r="H21" s="355"/>
      <c r="I21" s="355"/>
    </row>
    <row r="22" spans="1:9" ht="72" customHeight="1">
      <c r="A22" s="262" t="s">
        <v>159</v>
      </c>
      <c r="B22" s="261"/>
      <c r="C22" s="354" t="str">
        <f>格式修正!AI5&amp;格式修正!AG5&amp;格式修正!AG7</f>
        <v xml:space="preserve">① Without the written permission of this test center, do not copy the test report except the case of copying the entire report.
</v>
      </c>
      <c r="D22" s="354"/>
      <c r="E22" s="354"/>
      <c r="F22" s="354"/>
      <c r="G22" s="354"/>
      <c r="H22" s="354"/>
      <c r="I22" s="354"/>
    </row>
    <row r="23" spans="1:9" ht="24" hidden="1" customHeight="1">
      <c r="A23" s="138" t="s">
        <v>160</v>
      </c>
      <c r="B23" s="139"/>
      <c r="C23" s="369"/>
      <c r="D23" s="369"/>
      <c r="E23" s="369"/>
      <c r="F23" s="369"/>
      <c r="G23" s="369"/>
      <c r="H23" s="369"/>
      <c r="I23" s="370"/>
    </row>
    <row r="24" spans="1:9" ht="30.6" customHeight="1">
      <c r="A24" s="76"/>
      <c r="B24" s="204" t="s">
        <v>221</v>
      </c>
      <c r="C24" s="208" t="e">
        <f>数据修正!V17</f>
        <v>#N/A</v>
      </c>
      <c r="D24" s="205"/>
      <c r="E24" s="76"/>
      <c r="F24" s="368" t="s">
        <v>162</v>
      </c>
      <c r="G24" s="368"/>
      <c r="H24" s="208" t="e">
        <f>数据修正!V18</f>
        <v>#N/A</v>
      </c>
      <c r="I24" s="76"/>
    </row>
    <row r="25" spans="1:9" ht="15" customHeight="1">
      <c r="A25" s="360" t="s">
        <v>305</v>
      </c>
      <c r="B25" s="360"/>
      <c r="C25" s="360"/>
      <c r="D25" s="360"/>
      <c r="E25" s="360"/>
      <c r="F25" s="360"/>
      <c r="G25" s="360"/>
      <c r="H25" s="360"/>
      <c r="I25" s="360"/>
    </row>
    <row r="26" spans="1:9">
      <c r="A26" s="105"/>
      <c r="B26" s="155"/>
      <c r="C26" s="155"/>
      <c r="D26" s="155"/>
      <c r="E26" s="105"/>
      <c r="F26" s="155"/>
      <c r="G26" s="155"/>
      <c r="H26" s="155"/>
      <c r="I26" s="105"/>
    </row>
  </sheetData>
  <sheetProtection selectLockedCells="1"/>
  <mergeCells count="40">
    <mergeCell ref="H14:I14"/>
    <mergeCell ref="C15:I15"/>
    <mergeCell ref="H9:I9"/>
    <mergeCell ref="H10:I10"/>
    <mergeCell ref="H11:I11"/>
    <mergeCell ref="H12:I12"/>
    <mergeCell ref="H13:I13"/>
    <mergeCell ref="E9:G9"/>
    <mergeCell ref="E10:G10"/>
    <mergeCell ref="E11:G11"/>
    <mergeCell ref="A14:B14"/>
    <mergeCell ref="A15:B15"/>
    <mergeCell ref="E12:G12"/>
    <mergeCell ref="E13:G13"/>
    <mergeCell ref="E14:G14"/>
    <mergeCell ref="C14:D14"/>
    <mergeCell ref="C13:D13"/>
    <mergeCell ref="C12:D12"/>
    <mergeCell ref="A25:I25"/>
    <mergeCell ref="D17:E17"/>
    <mergeCell ref="H17:I17"/>
    <mergeCell ref="A21:B21"/>
    <mergeCell ref="F24:G24"/>
    <mergeCell ref="C23:I23"/>
    <mergeCell ref="A16:I16"/>
    <mergeCell ref="C22:I22"/>
    <mergeCell ref="C21:I21"/>
    <mergeCell ref="C1:G1"/>
    <mergeCell ref="C2:G2"/>
    <mergeCell ref="A6:I6"/>
    <mergeCell ref="A7:D7"/>
    <mergeCell ref="H7:I7"/>
    <mergeCell ref="C10:D10"/>
    <mergeCell ref="C9:D9"/>
    <mergeCell ref="C11:D11"/>
    <mergeCell ref="A9:B9"/>
    <mergeCell ref="A10:B10"/>
    <mergeCell ref="A11:B11"/>
    <mergeCell ref="A12:B12"/>
    <mergeCell ref="A13:B13"/>
  </mergeCells>
  <phoneticPr fontId="6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&amp;C&amp;"微软雅黑,常规"&amp;9Page &amp;P of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>
    <tabColor theme="5" tint="0.39997558519241921"/>
  </sheetPr>
  <dimension ref="A1:I26"/>
  <sheetViews>
    <sheetView showWhiteSpace="0" topLeftCell="A5" zoomScaleNormal="100" workbookViewId="0">
      <selection activeCell="C13" sqref="C13:D13"/>
    </sheetView>
  </sheetViews>
  <sheetFormatPr defaultRowHeight="13.5"/>
  <cols>
    <col min="1" max="1" width="1.25" style="97" customWidth="1"/>
    <col min="2" max="2" width="14.625" style="156" customWidth="1"/>
    <col min="3" max="3" width="16.625" style="156" customWidth="1"/>
    <col min="4" max="4" width="15.625" style="156" customWidth="1"/>
    <col min="5" max="5" width="0.875" style="97" hidden="1" customWidth="1"/>
    <col min="6" max="7" width="10.625" style="156" customWidth="1"/>
    <col min="8" max="8" width="20.625" style="156" customWidth="1"/>
    <col min="9" max="9" width="0.875" style="97" customWidth="1"/>
    <col min="10" max="16384" width="9" style="97"/>
  </cols>
  <sheetData>
    <row r="1" spans="1:9" ht="20.100000000000001" customHeight="1">
      <c r="A1" s="70"/>
      <c r="B1" s="200"/>
      <c r="C1" s="356" t="s">
        <v>254</v>
      </c>
      <c r="D1" s="356"/>
      <c r="E1" s="356"/>
      <c r="F1" s="356"/>
      <c r="G1" s="356"/>
      <c r="H1" s="201"/>
      <c r="I1" s="70"/>
    </row>
    <row r="2" spans="1:9" ht="35.1" customHeight="1">
      <c r="A2" s="70"/>
      <c r="B2" s="200"/>
      <c r="C2" s="357" t="s">
        <v>255</v>
      </c>
      <c r="D2" s="357"/>
      <c r="E2" s="357"/>
      <c r="F2" s="357"/>
      <c r="G2" s="357"/>
      <c r="H2" s="357"/>
      <c r="I2" s="357"/>
    </row>
    <row r="3" spans="1:9" ht="2.1" customHeight="1">
      <c r="A3" s="70"/>
      <c r="B3" s="200"/>
      <c r="C3" s="241"/>
      <c r="D3" s="241"/>
      <c r="E3" s="241"/>
      <c r="F3" s="241"/>
      <c r="G3" s="241"/>
      <c r="H3" s="201"/>
      <c r="I3" s="70"/>
    </row>
    <row r="4" spans="1:9" ht="2.1" customHeight="1">
      <c r="A4" s="70"/>
      <c r="B4" s="200"/>
      <c r="C4" s="241"/>
      <c r="D4" s="241"/>
      <c r="E4" s="241"/>
      <c r="F4" s="241"/>
      <c r="G4" s="241"/>
      <c r="H4" s="201"/>
      <c r="I4" s="70"/>
    </row>
    <row r="5" spans="1:9" ht="2.1" customHeight="1">
      <c r="A5" s="70"/>
      <c r="B5" s="201"/>
      <c r="C5" s="201"/>
      <c r="D5" s="201"/>
      <c r="E5" s="70"/>
      <c r="F5" s="201"/>
      <c r="G5" s="201"/>
      <c r="H5" s="201"/>
      <c r="I5" s="71"/>
    </row>
    <row r="6" spans="1:9" ht="24.95" customHeight="1">
      <c r="A6" s="358" t="s">
        <v>299</v>
      </c>
      <c r="B6" s="359"/>
      <c r="C6" s="359"/>
      <c r="D6" s="359"/>
      <c r="E6" s="359"/>
      <c r="F6" s="359"/>
      <c r="G6" s="359"/>
      <c r="H6" s="359"/>
      <c r="I6" s="359"/>
    </row>
    <row r="7" spans="1:9" ht="12" customHeight="1">
      <c r="A7" s="360" t="s">
        <v>300</v>
      </c>
      <c r="B7" s="360"/>
      <c r="C7" s="360"/>
      <c r="D7" s="360"/>
      <c r="E7" s="72"/>
      <c r="F7" s="139"/>
      <c r="G7" s="206" t="s">
        <v>137</v>
      </c>
      <c r="H7" s="361" t="str">
        <f>"C"&amp;TEXT(数据源!B2,"00000000000")</f>
        <v>C00000000000</v>
      </c>
      <c r="I7" s="361"/>
    </row>
    <row r="8" spans="1:9" ht="3" customHeight="1">
      <c r="A8" s="73"/>
      <c r="B8" s="202"/>
      <c r="C8" s="202"/>
      <c r="D8" s="202"/>
      <c r="E8" s="74"/>
      <c r="F8" s="243"/>
      <c r="G8" s="207"/>
      <c r="H8" s="207"/>
      <c r="I8" s="136"/>
    </row>
    <row r="9" spans="1:9" s="156" customFormat="1" ht="16.5">
      <c r="A9" s="364" t="s">
        <v>138</v>
      </c>
      <c r="B9" s="364"/>
      <c r="C9" s="363">
        <f>数据源!G2</f>
        <v>0</v>
      </c>
      <c r="D9" s="363"/>
      <c r="E9" s="364" t="s">
        <v>139</v>
      </c>
      <c r="F9" s="364"/>
      <c r="G9" s="364"/>
      <c r="H9" s="373">
        <f>数据源!O3</f>
        <v>0</v>
      </c>
      <c r="I9" s="373"/>
    </row>
    <row r="10" spans="1:9" ht="20.100000000000001" customHeight="1">
      <c r="A10" s="365" t="s">
        <v>140</v>
      </c>
      <c r="B10" s="365"/>
      <c r="C10" s="362" t="str">
        <f>TEXT(数据源!B7,"00000000")</f>
        <v>00000000</v>
      </c>
      <c r="D10" s="362"/>
      <c r="E10" s="365" t="s">
        <v>141</v>
      </c>
      <c r="F10" s="365"/>
      <c r="G10" s="365"/>
      <c r="H10" s="373" t="str">
        <f>TEXT(数据源!B2,"00000000000")</f>
        <v>00000000000</v>
      </c>
      <c r="I10" s="373"/>
    </row>
    <row r="11" spans="1:9" ht="20.100000000000001" customHeight="1">
      <c r="A11" s="365" t="s">
        <v>142</v>
      </c>
      <c r="B11" s="365"/>
      <c r="C11" s="362">
        <f>数据源!G7</f>
        <v>0</v>
      </c>
      <c r="D11" s="362"/>
      <c r="E11" s="365" t="s">
        <v>143</v>
      </c>
      <c r="F11" s="365"/>
      <c r="G11" s="365"/>
      <c r="H11" s="373">
        <f>数据源!O2</f>
        <v>0</v>
      </c>
      <c r="I11" s="373"/>
    </row>
    <row r="12" spans="1:9" ht="20.100000000000001" customHeight="1">
      <c r="A12" s="365" t="s">
        <v>144</v>
      </c>
      <c r="B12" s="365"/>
      <c r="C12" s="362" t="str">
        <f>TEXT(数据修正!V26,"#")&amp;数据修正!V23</f>
        <v>0</v>
      </c>
      <c r="D12" s="362"/>
      <c r="E12" s="365" t="s">
        <v>145</v>
      </c>
      <c r="F12" s="365"/>
      <c r="G12" s="365"/>
      <c r="H12" s="373">
        <f>数据修正!V24</f>
        <v>0</v>
      </c>
      <c r="I12" s="373"/>
    </row>
    <row r="13" spans="1:9" ht="20.100000000000001" customHeight="1">
      <c r="A13" s="365" t="s">
        <v>146</v>
      </c>
      <c r="B13" s="365"/>
      <c r="C13" s="375" t="str">
        <f>数据修正!X21</f>
        <v>0//</v>
      </c>
      <c r="D13" s="375"/>
      <c r="E13" s="365" t="s">
        <v>147</v>
      </c>
      <c r="F13" s="365"/>
      <c r="G13" s="365"/>
      <c r="H13" s="374" t="e">
        <f>数据修正!V16</f>
        <v>#N/A</v>
      </c>
      <c r="I13" s="374"/>
    </row>
    <row r="14" spans="1:9" ht="32.1" customHeight="1">
      <c r="A14" s="364" t="s">
        <v>220</v>
      </c>
      <c r="B14" s="364"/>
      <c r="C14" s="362" t="str">
        <f>数据源!G5&amp;数据修正!W1</f>
        <v>D</v>
      </c>
      <c r="D14" s="362"/>
      <c r="E14" s="365" t="s">
        <v>148</v>
      </c>
      <c r="F14" s="365"/>
      <c r="G14" s="365"/>
      <c r="H14" s="363">
        <f>数据源!G9</f>
        <v>0</v>
      </c>
      <c r="I14" s="363"/>
    </row>
    <row r="15" spans="1:9" ht="16.5">
      <c r="A15" s="365" t="s">
        <v>149</v>
      </c>
      <c r="B15" s="365"/>
      <c r="C15" s="372">
        <f>数据源!B14</f>
        <v>0</v>
      </c>
      <c r="D15" s="372"/>
      <c r="E15" s="372"/>
      <c r="F15" s="372"/>
      <c r="G15" s="372"/>
      <c r="H15" s="372"/>
      <c r="I15" s="372"/>
    </row>
    <row r="16" spans="1:9" ht="22.7" customHeight="1">
      <c r="A16" s="353" t="s">
        <v>150</v>
      </c>
      <c r="B16" s="353"/>
      <c r="C16" s="353"/>
      <c r="D16" s="353"/>
      <c r="E16" s="353"/>
      <c r="F16" s="353"/>
      <c r="G16" s="353"/>
      <c r="H16" s="353"/>
      <c r="I16" s="353"/>
    </row>
    <row r="17" spans="1:9" ht="42" customHeight="1">
      <c r="A17" s="143"/>
      <c r="B17" s="242" t="s">
        <v>151</v>
      </c>
      <c r="C17" s="140" t="s">
        <v>152</v>
      </c>
      <c r="D17" s="366" t="s">
        <v>153</v>
      </c>
      <c r="E17" s="366"/>
      <c r="F17" s="142" t="s">
        <v>154</v>
      </c>
      <c r="G17" s="144" t="s">
        <v>155</v>
      </c>
      <c r="H17" s="366" t="s">
        <v>156</v>
      </c>
      <c r="I17" s="366"/>
    </row>
    <row r="18" spans="1:9" ht="21" customHeight="1">
      <c r="A18" s="259"/>
      <c r="B18" s="275"/>
      <c r="C18" s="272"/>
      <c r="D18" s="272"/>
      <c r="E18" s="272"/>
      <c r="F18" s="272"/>
      <c r="G18" s="272"/>
      <c r="H18" s="272"/>
      <c r="I18" s="137"/>
    </row>
    <row r="19" spans="1:9" ht="21" customHeight="1">
      <c r="A19" s="260"/>
      <c r="B19" s="272" t="s">
        <v>157</v>
      </c>
      <c r="C19" s="272"/>
      <c r="D19" s="272"/>
      <c r="E19" s="272"/>
      <c r="F19" s="272"/>
      <c r="G19" s="272"/>
      <c r="H19" s="272"/>
      <c r="I19" s="137"/>
    </row>
    <row r="20" spans="1:9" ht="0.75" customHeight="1">
      <c r="A20" s="260"/>
      <c r="B20" s="272"/>
      <c r="C20" s="272"/>
      <c r="D20" s="272"/>
      <c r="E20" s="272"/>
      <c r="F20" s="272"/>
      <c r="G20" s="272"/>
      <c r="H20" s="272"/>
      <c r="I20" s="137"/>
    </row>
    <row r="21" spans="1:9" ht="32.1" customHeight="1">
      <c r="A21" s="367" t="s">
        <v>158</v>
      </c>
      <c r="B21" s="367"/>
      <c r="C21" s="355" t="str">
        <f>数据修正!W7</f>
        <v>This product has been tested and meets the requirements of Sirio Pharma company standards.</v>
      </c>
      <c r="D21" s="355"/>
      <c r="E21" s="355"/>
      <c r="F21" s="355"/>
      <c r="G21" s="355"/>
      <c r="H21" s="355"/>
      <c r="I21" s="355"/>
    </row>
    <row r="22" spans="1:9" ht="72.400000000000006" customHeight="1">
      <c r="A22" s="267" t="s">
        <v>159</v>
      </c>
      <c r="B22" s="203"/>
      <c r="C22" s="354" t="str">
        <f>格式修正!AI5&amp;格式修正!AG5&amp;格式修正!AG7</f>
        <v xml:space="preserve">① Without the written permission of this test center, do not copy the test report except the case of copying the entire report.
</v>
      </c>
      <c r="D22" s="354"/>
      <c r="E22" s="354"/>
      <c r="F22" s="354"/>
      <c r="G22" s="354"/>
      <c r="H22" s="354"/>
      <c r="I22" s="354"/>
    </row>
    <row r="23" spans="1:9" ht="24.75" hidden="1" customHeight="1">
      <c r="A23" s="138" t="s">
        <v>160</v>
      </c>
      <c r="B23" s="139"/>
      <c r="C23" s="369"/>
      <c r="D23" s="369"/>
      <c r="E23" s="369"/>
      <c r="F23" s="369"/>
      <c r="G23" s="369"/>
      <c r="H23" s="369"/>
      <c r="I23" s="370"/>
    </row>
    <row r="24" spans="1:9" ht="30.6" customHeight="1">
      <c r="A24" s="76"/>
      <c r="B24" s="204" t="s">
        <v>221</v>
      </c>
      <c r="C24" s="208" t="e">
        <f>数据修正!V17</f>
        <v>#N/A</v>
      </c>
      <c r="D24" s="205"/>
      <c r="E24" s="76"/>
      <c r="F24" s="368" t="s">
        <v>162</v>
      </c>
      <c r="G24" s="368"/>
      <c r="H24" s="208" t="e">
        <f>数据修正!V18</f>
        <v>#N/A</v>
      </c>
      <c r="I24" s="76"/>
    </row>
    <row r="25" spans="1:9" ht="15" customHeight="1">
      <c r="A25" s="360" t="s">
        <v>223</v>
      </c>
      <c r="B25" s="360"/>
      <c r="C25" s="360"/>
      <c r="D25" s="360"/>
      <c r="E25" s="360"/>
      <c r="F25" s="360"/>
      <c r="G25" s="360"/>
      <c r="H25" s="360"/>
      <c r="I25" s="360"/>
    </row>
    <row r="26" spans="1:9">
      <c r="A26" s="105"/>
      <c r="B26" s="155"/>
      <c r="C26" s="155"/>
      <c r="D26" s="155"/>
      <c r="E26" s="105"/>
      <c r="F26" s="155"/>
      <c r="G26" s="155"/>
      <c r="H26" s="155"/>
      <c r="I26" s="105"/>
    </row>
  </sheetData>
  <sheetProtection selectLockedCells="1"/>
  <mergeCells count="40">
    <mergeCell ref="A14:B14"/>
    <mergeCell ref="C14:D14"/>
    <mergeCell ref="E14:G14"/>
    <mergeCell ref="C2:I2"/>
    <mergeCell ref="C1:G1"/>
    <mergeCell ref="A6:I6"/>
    <mergeCell ref="A7:D7"/>
    <mergeCell ref="H7:I7"/>
    <mergeCell ref="A10:B10"/>
    <mergeCell ref="C10:D10"/>
    <mergeCell ref="E10:G10"/>
    <mergeCell ref="A9:B9"/>
    <mergeCell ref="C9:D9"/>
    <mergeCell ref="E9:G9"/>
    <mergeCell ref="H9:I9"/>
    <mergeCell ref="H10:I10"/>
    <mergeCell ref="A11:B11"/>
    <mergeCell ref="C11:D11"/>
    <mergeCell ref="E11:G11"/>
    <mergeCell ref="H11:I11"/>
    <mergeCell ref="H12:I12"/>
    <mergeCell ref="A12:B12"/>
    <mergeCell ref="C12:D12"/>
    <mergeCell ref="E12:G12"/>
    <mergeCell ref="A13:B13"/>
    <mergeCell ref="C13:D13"/>
    <mergeCell ref="E13:G13"/>
    <mergeCell ref="H13:I13"/>
    <mergeCell ref="A25:I25"/>
    <mergeCell ref="A15:B15"/>
    <mergeCell ref="A16:I16"/>
    <mergeCell ref="D17:E17"/>
    <mergeCell ref="H17:I17"/>
    <mergeCell ref="A21:B21"/>
    <mergeCell ref="C21:I21"/>
    <mergeCell ref="C22:I22"/>
    <mergeCell ref="C23:I23"/>
    <mergeCell ref="F24:G24"/>
    <mergeCell ref="H14:I14"/>
    <mergeCell ref="C15:I15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>&amp;C&amp;"微软雅黑,常规"&amp;9Page &amp;P of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J24"/>
  <sheetViews>
    <sheetView topLeftCell="A7" zoomScaleNormal="100" workbookViewId="0">
      <selection activeCell="C13" sqref="C13:D13"/>
    </sheetView>
  </sheetViews>
  <sheetFormatPr defaultRowHeight="13.5"/>
  <cols>
    <col min="1" max="1" width="1.25" customWidth="1"/>
    <col min="2" max="2" width="14.625" style="156" customWidth="1"/>
    <col min="3" max="3" width="1.25" hidden="1" customWidth="1"/>
    <col min="4" max="4" width="25.625" style="156" customWidth="1"/>
    <col min="5" max="5" width="15.625" customWidth="1"/>
    <col min="6" max="6" width="0.875" customWidth="1"/>
    <col min="7" max="7" width="8.625" customWidth="1"/>
    <col min="8" max="8" width="0.875" customWidth="1"/>
    <col min="9" max="9" width="22.625" customWidth="1"/>
    <col min="10" max="10" width="0.875" customWidth="1"/>
  </cols>
  <sheetData>
    <row r="1" spans="1:10" ht="20.100000000000001" customHeight="1">
      <c r="A1" s="70"/>
      <c r="B1" s="200"/>
      <c r="C1" s="70"/>
      <c r="D1" s="356" t="s">
        <v>135</v>
      </c>
      <c r="E1" s="356"/>
      <c r="F1" s="356"/>
      <c r="G1" s="356"/>
      <c r="H1" s="356"/>
      <c r="I1" s="356"/>
      <c r="J1" s="70"/>
    </row>
    <row r="2" spans="1:10" ht="15.95" customHeight="1">
      <c r="A2" s="70"/>
      <c r="B2" s="200"/>
      <c r="C2" s="70"/>
      <c r="D2" s="357" t="s">
        <v>136</v>
      </c>
      <c r="E2" s="357"/>
      <c r="F2" s="357"/>
      <c r="G2" s="357"/>
      <c r="H2" s="357"/>
      <c r="I2" s="70"/>
      <c r="J2" s="70"/>
    </row>
    <row r="3" spans="1:10" ht="2.1" customHeight="1">
      <c r="A3" s="70"/>
      <c r="B3" s="200"/>
      <c r="C3" s="70"/>
      <c r="D3" s="149"/>
      <c r="E3" s="83"/>
      <c r="F3" s="83"/>
      <c r="G3" s="83"/>
      <c r="H3" s="83"/>
      <c r="I3" s="70"/>
      <c r="J3" s="70"/>
    </row>
    <row r="4" spans="1:10" ht="2.1" customHeight="1">
      <c r="A4" s="70"/>
      <c r="B4" s="200"/>
      <c r="C4" s="70"/>
      <c r="D4" s="149"/>
      <c r="E4" s="83"/>
      <c r="F4" s="83"/>
      <c r="G4" s="83"/>
      <c r="H4" s="83"/>
      <c r="I4" s="70"/>
      <c r="J4" s="70"/>
    </row>
    <row r="5" spans="1:10" ht="2.1" customHeight="1">
      <c r="A5" s="70"/>
      <c r="B5" s="201"/>
      <c r="C5" s="70"/>
      <c r="D5" s="201"/>
      <c r="E5" s="70"/>
      <c r="F5" s="70"/>
      <c r="G5" s="70"/>
      <c r="H5" s="70"/>
      <c r="I5" s="70"/>
      <c r="J5" s="71"/>
    </row>
    <row r="6" spans="1:10" ht="24.95" customHeight="1">
      <c r="A6" s="358" t="s">
        <v>280</v>
      </c>
      <c r="B6" s="359"/>
      <c r="C6" s="359"/>
      <c r="D6" s="359"/>
      <c r="E6" s="359"/>
      <c r="F6" s="359"/>
      <c r="G6" s="359"/>
      <c r="H6" s="359"/>
      <c r="I6" s="359"/>
      <c r="J6" s="359"/>
    </row>
    <row r="7" spans="1:10" ht="14.25">
      <c r="A7" s="360" t="s">
        <v>279</v>
      </c>
      <c r="B7" s="360"/>
      <c r="C7" s="360"/>
      <c r="D7" s="360"/>
      <c r="E7" s="360"/>
      <c r="F7" s="378" t="s">
        <v>222</v>
      </c>
      <c r="G7" s="378"/>
      <c r="H7" s="360" t="str">
        <f>"C"&amp;TEXT(数据源!B2,"00000000000")</f>
        <v>C00000000000</v>
      </c>
      <c r="I7" s="360"/>
      <c r="J7" s="360"/>
    </row>
    <row r="8" spans="1:10" ht="3" customHeight="1">
      <c r="A8" s="73"/>
      <c r="B8" s="202"/>
      <c r="C8" s="73"/>
      <c r="D8" s="202"/>
      <c r="E8" s="73"/>
      <c r="F8" s="74"/>
      <c r="G8" s="74"/>
      <c r="H8" s="75"/>
      <c r="I8" s="75"/>
      <c r="J8" s="136"/>
    </row>
    <row r="9" spans="1:10" s="156" customFormat="1" ht="16.5">
      <c r="A9" s="364" t="s">
        <v>138</v>
      </c>
      <c r="B9" s="364"/>
      <c r="C9" s="363">
        <f>数据源!G2</f>
        <v>0</v>
      </c>
      <c r="D9" s="363"/>
      <c r="E9" s="364" t="s">
        <v>139</v>
      </c>
      <c r="F9" s="364"/>
      <c r="G9" s="363">
        <f>数据源!O3</f>
        <v>0</v>
      </c>
      <c r="H9" s="363"/>
      <c r="I9" s="363"/>
      <c r="J9" s="363"/>
    </row>
    <row r="10" spans="1:10" ht="20.100000000000001" customHeight="1">
      <c r="A10" s="365" t="s">
        <v>140</v>
      </c>
      <c r="B10" s="365"/>
      <c r="C10" s="363" t="str">
        <f>TEXT(数据源!B7,"00000000")</f>
        <v>00000000</v>
      </c>
      <c r="D10" s="363"/>
      <c r="E10" s="365" t="s">
        <v>141</v>
      </c>
      <c r="F10" s="365"/>
      <c r="G10" s="363" t="str">
        <f>TEXT(数据源!B2,"00000000000")</f>
        <v>00000000000</v>
      </c>
      <c r="H10" s="363"/>
      <c r="I10" s="363"/>
      <c r="J10" s="363"/>
    </row>
    <row r="11" spans="1:10" ht="20.100000000000001" customHeight="1">
      <c r="A11" s="365" t="s">
        <v>142</v>
      </c>
      <c r="B11" s="365"/>
      <c r="C11" s="363">
        <f>数据源!G7</f>
        <v>0</v>
      </c>
      <c r="D11" s="363"/>
      <c r="E11" s="365" t="s">
        <v>143</v>
      </c>
      <c r="F11" s="365"/>
      <c r="G11" s="363">
        <f>数据源!O2</f>
        <v>0</v>
      </c>
      <c r="H11" s="363"/>
      <c r="I11" s="363"/>
      <c r="J11" s="363"/>
    </row>
    <row r="12" spans="1:10" ht="20.100000000000001" customHeight="1">
      <c r="A12" s="365" t="s">
        <v>144</v>
      </c>
      <c r="B12" s="365"/>
      <c r="C12" s="363" t="str">
        <f>TEXT(数据修正!V26,"#")&amp;数据修正!V23</f>
        <v>0</v>
      </c>
      <c r="D12" s="363"/>
      <c r="E12" s="365" t="s">
        <v>145</v>
      </c>
      <c r="F12" s="365"/>
      <c r="G12" s="363">
        <f>数据修正!V24</f>
        <v>0</v>
      </c>
      <c r="H12" s="363"/>
      <c r="I12" s="363"/>
      <c r="J12" s="363"/>
    </row>
    <row r="13" spans="1:10" ht="20.100000000000001" customHeight="1">
      <c r="A13" s="365" t="s">
        <v>146</v>
      </c>
      <c r="B13" s="365"/>
      <c r="C13" s="377" t="str">
        <f>数据修正!X21</f>
        <v>0//</v>
      </c>
      <c r="D13" s="377"/>
      <c r="E13" s="365" t="s">
        <v>147</v>
      </c>
      <c r="F13" s="365"/>
      <c r="G13" s="377" t="e">
        <f>数据修正!V16</f>
        <v>#N/A</v>
      </c>
      <c r="H13" s="377"/>
      <c r="I13" s="377"/>
      <c r="J13" s="377"/>
    </row>
    <row r="14" spans="1:10" ht="42" customHeight="1">
      <c r="A14" s="364" t="s">
        <v>220</v>
      </c>
      <c r="B14" s="364"/>
      <c r="C14" s="363" t="str">
        <f>数据源!G5&amp;数据修正!W1</f>
        <v>D</v>
      </c>
      <c r="D14" s="363"/>
      <c r="E14" s="365" t="s">
        <v>148</v>
      </c>
      <c r="F14" s="365"/>
      <c r="G14" s="363">
        <f>数据源!G9</f>
        <v>0</v>
      </c>
      <c r="H14" s="363"/>
      <c r="I14" s="363"/>
      <c r="J14" s="363"/>
    </row>
    <row r="15" spans="1:10" ht="16.5">
      <c r="A15" s="365" t="s">
        <v>149</v>
      </c>
      <c r="B15" s="365"/>
      <c r="C15" s="372">
        <f>数据源!B14</f>
        <v>0</v>
      </c>
      <c r="D15" s="372"/>
      <c r="E15" s="372"/>
      <c r="F15" s="372"/>
      <c r="G15" s="372"/>
      <c r="H15" s="372"/>
      <c r="I15" s="372"/>
      <c r="J15" s="372"/>
    </row>
    <row r="16" spans="1:10" ht="22.7" customHeight="1">
      <c r="A16" s="353" t="s">
        <v>163</v>
      </c>
      <c r="B16" s="353"/>
      <c r="C16" s="353"/>
      <c r="D16" s="353"/>
      <c r="E16" s="353"/>
      <c r="F16" s="353"/>
      <c r="G16" s="353"/>
      <c r="H16" s="353"/>
      <c r="I16" s="353"/>
      <c r="J16" s="353"/>
    </row>
    <row r="17" spans="1:10" ht="42" customHeight="1">
      <c r="A17" s="143"/>
      <c r="B17" s="140" t="s">
        <v>151</v>
      </c>
      <c r="C17" s="140"/>
      <c r="D17" s="140" t="s">
        <v>152</v>
      </c>
      <c r="E17" s="140" t="s">
        <v>154</v>
      </c>
      <c r="F17" s="140"/>
      <c r="G17" s="141" t="s">
        <v>164</v>
      </c>
      <c r="H17" s="142"/>
      <c r="I17" s="140" t="s">
        <v>156</v>
      </c>
      <c r="J17" s="140"/>
    </row>
    <row r="18" spans="1:10" ht="13.9" customHeight="1">
      <c r="A18" s="259"/>
      <c r="B18" s="272"/>
      <c r="C18" s="272"/>
      <c r="D18" s="272"/>
      <c r="E18" s="272"/>
      <c r="F18" s="272"/>
      <c r="G18" s="272"/>
      <c r="H18" s="272"/>
      <c r="I18" s="272"/>
      <c r="J18" s="137"/>
    </row>
    <row r="19" spans="1:10" s="97" customFormat="1" ht="13.9" customHeight="1">
      <c r="A19" s="260"/>
      <c r="B19" s="272" t="s">
        <v>157</v>
      </c>
      <c r="C19" s="272"/>
      <c r="D19" s="272"/>
      <c r="E19" s="272"/>
      <c r="F19" s="272"/>
      <c r="G19" s="272"/>
      <c r="H19" s="272"/>
      <c r="I19" s="272"/>
      <c r="J19" s="244"/>
    </row>
    <row r="20" spans="1:10" s="97" customFormat="1" ht="0.75" customHeight="1">
      <c r="A20" s="260"/>
      <c r="B20" s="272"/>
      <c r="C20" s="272"/>
      <c r="D20" s="272"/>
      <c r="E20" s="260"/>
      <c r="F20" s="260"/>
      <c r="G20" s="260"/>
      <c r="H20" s="260"/>
      <c r="I20" s="260"/>
      <c r="J20" s="244"/>
    </row>
    <row r="21" spans="1:10" ht="32.1" customHeight="1">
      <c r="A21" s="380" t="s">
        <v>165</v>
      </c>
      <c r="B21" s="380"/>
      <c r="C21" s="380"/>
      <c r="D21" s="380"/>
      <c r="E21" s="380"/>
      <c r="F21" s="380"/>
      <c r="G21" s="380"/>
      <c r="H21" s="380"/>
      <c r="I21" s="380"/>
      <c r="J21" s="380"/>
    </row>
    <row r="22" spans="1:10" ht="30.6" customHeight="1">
      <c r="A22" s="368" t="s">
        <v>161</v>
      </c>
      <c r="B22" s="368"/>
      <c r="C22" s="368"/>
      <c r="D22" s="208" t="e">
        <f>数据修正!V17</f>
        <v>#N/A</v>
      </c>
      <c r="E22" s="368" t="s">
        <v>171</v>
      </c>
      <c r="F22" s="368"/>
      <c r="G22" s="376" t="e">
        <f>数据修正!V18</f>
        <v>#N/A</v>
      </c>
      <c r="H22" s="376"/>
      <c r="I22" s="376"/>
      <c r="J22" s="76"/>
    </row>
    <row r="23" spans="1:10" ht="15" customHeight="1">
      <c r="A23" s="360" t="s">
        <v>306</v>
      </c>
      <c r="B23" s="360"/>
      <c r="C23" s="360"/>
      <c r="D23" s="360"/>
      <c r="E23" s="360"/>
      <c r="F23" s="360"/>
      <c r="G23" s="360"/>
      <c r="H23" s="360"/>
      <c r="I23" s="360"/>
      <c r="J23" s="360"/>
    </row>
    <row r="24" spans="1:10">
      <c r="A24" s="379"/>
      <c r="B24" s="379"/>
      <c r="C24" s="379"/>
      <c r="D24" s="379"/>
      <c r="E24" s="379"/>
      <c r="F24" s="379"/>
      <c r="G24" s="379"/>
      <c r="H24" s="379"/>
      <c r="I24" s="379"/>
      <c r="J24" s="105"/>
    </row>
  </sheetData>
  <sheetProtection selectLockedCells="1"/>
  <mergeCells count="39">
    <mergeCell ref="A24:I24"/>
    <mergeCell ref="C14:D14"/>
    <mergeCell ref="C9:D9"/>
    <mergeCell ref="C10:D10"/>
    <mergeCell ref="C11:D11"/>
    <mergeCell ref="C12:D12"/>
    <mergeCell ref="C13:D13"/>
    <mergeCell ref="A23:J23"/>
    <mergeCell ref="A16:J16"/>
    <mergeCell ref="A21:J21"/>
    <mergeCell ref="A15:B15"/>
    <mergeCell ref="C15:J15"/>
    <mergeCell ref="F7:G7"/>
    <mergeCell ref="H7:J7"/>
    <mergeCell ref="A14:B14"/>
    <mergeCell ref="A13:B13"/>
    <mergeCell ref="A12:B12"/>
    <mergeCell ref="A10:B10"/>
    <mergeCell ref="E13:F13"/>
    <mergeCell ref="A11:B11"/>
    <mergeCell ref="A9:B9"/>
    <mergeCell ref="G14:J14"/>
    <mergeCell ref="G9:J9"/>
    <mergeCell ref="D1:I1"/>
    <mergeCell ref="E22:F22"/>
    <mergeCell ref="A22:C22"/>
    <mergeCell ref="G22:I22"/>
    <mergeCell ref="E14:F14"/>
    <mergeCell ref="E9:F9"/>
    <mergeCell ref="E10:F10"/>
    <mergeCell ref="E11:F11"/>
    <mergeCell ref="E12:F12"/>
    <mergeCell ref="D2:H2"/>
    <mergeCell ref="A6:J6"/>
    <mergeCell ref="A7:E7"/>
    <mergeCell ref="G10:J10"/>
    <mergeCell ref="G11:J11"/>
    <mergeCell ref="G12:J12"/>
    <mergeCell ref="G13:J13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 xml:space="preserve">&amp;C&amp;"微软雅黑,常规"&amp;9Attached sheet of &amp;P of &amp;N 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theme="5" tint="0.39997558519241921"/>
  </sheetPr>
  <dimension ref="A1:J24"/>
  <sheetViews>
    <sheetView zoomScaleNormal="100" workbookViewId="0">
      <selection activeCell="C11" sqref="C11:D11"/>
    </sheetView>
  </sheetViews>
  <sheetFormatPr defaultRowHeight="13.5"/>
  <cols>
    <col min="1" max="1" width="1.25" style="97" customWidth="1"/>
    <col min="2" max="2" width="14.625" style="156" customWidth="1"/>
    <col min="3" max="3" width="1.25" style="97" hidden="1" customWidth="1"/>
    <col min="4" max="4" width="25.625" style="156" customWidth="1"/>
    <col min="5" max="5" width="15.625" style="97" customWidth="1"/>
    <col min="6" max="6" width="0.875" style="97" customWidth="1"/>
    <col min="7" max="7" width="8.625" style="97" customWidth="1"/>
    <col min="8" max="8" width="0.875" style="97" customWidth="1"/>
    <col min="9" max="9" width="22.625" style="97" customWidth="1"/>
    <col min="10" max="10" width="0.875" style="97" customWidth="1"/>
    <col min="11" max="16384" width="9" style="97"/>
  </cols>
  <sheetData>
    <row r="1" spans="1:10" ht="20.100000000000001" customHeight="1">
      <c r="A1" s="70"/>
      <c r="B1" s="200"/>
      <c r="C1" s="70"/>
      <c r="D1" s="356" t="s">
        <v>254</v>
      </c>
      <c r="E1" s="356"/>
      <c r="F1" s="356"/>
      <c r="G1" s="356"/>
      <c r="H1" s="356"/>
      <c r="I1" s="356"/>
      <c r="J1" s="70"/>
    </row>
    <row r="2" spans="1:10" ht="35.1" customHeight="1">
      <c r="A2" s="70"/>
      <c r="B2" s="200"/>
      <c r="C2" s="70"/>
      <c r="D2" s="357" t="s">
        <v>255</v>
      </c>
      <c r="E2" s="357"/>
      <c r="F2" s="357"/>
      <c r="G2" s="357"/>
      <c r="H2" s="357"/>
      <c r="I2" s="357"/>
      <c r="J2" s="357"/>
    </row>
    <row r="3" spans="1:10" ht="2.1" customHeight="1">
      <c r="A3" s="70"/>
      <c r="B3" s="200"/>
      <c r="C3" s="70"/>
      <c r="D3" s="241"/>
      <c r="E3" s="241"/>
      <c r="F3" s="241"/>
      <c r="G3" s="241"/>
      <c r="H3" s="241"/>
      <c r="I3" s="70"/>
      <c r="J3" s="70"/>
    </row>
    <row r="4" spans="1:10" ht="2.1" customHeight="1">
      <c r="A4" s="70"/>
      <c r="B4" s="200"/>
      <c r="C4" s="70"/>
      <c r="D4" s="241"/>
      <c r="E4" s="241"/>
      <c r="F4" s="241"/>
      <c r="G4" s="241"/>
      <c r="H4" s="241"/>
      <c r="I4" s="70"/>
      <c r="J4" s="70"/>
    </row>
    <row r="5" spans="1:10" ht="2.1" customHeight="1">
      <c r="A5" s="70"/>
      <c r="B5" s="201"/>
      <c r="C5" s="70"/>
      <c r="D5" s="201"/>
      <c r="E5" s="70"/>
      <c r="F5" s="70"/>
      <c r="G5" s="70"/>
      <c r="H5" s="70"/>
      <c r="I5" s="70"/>
      <c r="J5" s="71"/>
    </row>
    <row r="6" spans="1:10" ht="24.95" customHeight="1">
      <c r="A6" s="358" t="s">
        <v>299</v>
      </c>
      <c r="B6" s="359"/>
      <c r="C6" s="359"/>
      <c r="D6" s="359"/>
      <c r="E6" s="359"/>
      <c r="F6" s="359"/>
      <c r="G6" s="359"/>
      <c r="H6" s="359"/>
      <c r="I6" s="359"/>
      <c r="J6" s="359"/>
    </row>
    <row r="7" spans="1:10" ht="14.25">
      <c r="A7" s="360" t="s">
        <v>300</v>
      </c>
      <c r="B7" s="360"/>
      <c r="C7" s="360"/>
      <c r="D7" s="360"/>
      <c r="E7" s="360"/>
      <c r="F7" s="378" t="s">
        <v>222</v>
      </c>
      <c r="G7" s="378"/>
      <c r="H7" s="360" t="str">
        <f>"C"&amp;TEXT(数据源!B2,"00000000000")</f>
        <v>C00000000000</v>
      </c>
      <c r="I7" s="360"/>
      <c r="J7" s="360"/>
    </row>
    <row r="8" spans="1:10" ht="3" customHeight="1">
      <c r="A8" s="73"/>
      <c r="B8" s="202"/>
      <c r="C8" s="73"/>
      <c r="D8" s="202"/>
      <c r="E8" s="73"/>
      <c r="F8" s="74"/>
      <c r="G8" s="74"/>
      <c r="H8" s="75"/>
      <c r="I8" s="75"/>
      <c r="J8" s="136"/>
    </row>
    <row r="9" spans="1:10" s="156" customFormat="1" ht="16.5">
      <c r="A9" s="364" t="s">
        <v>138</v>
      </c>
      <c r="B9" s="364"/>
      <c r="C9" s="363">
        <f>数据源!G2</f>
        <v>0</v>
      </c>
      <c r="D9" s="363"/>
      <c r="E9" s="364" t="s">
        <v>139</v>
      </c>
      <c r="F9" s="364"/>
      <c r="G9" s="363">
        <f>数据源!O3</f>
        <v>0</v>
      </c>
      <c r="H9" s="363"/>
      <c r="I9" s="363"/>
      <c r="J9" s="77"/>
    </row>
    <row r="10" spans="1:10" ht="20.100000000000001" customHeight="1">
      <c r="A10" s="365" t="s">
        <v>140</v>
      </c>
      <c r="B10" s="365"/>
      <c r="C10" s="363" t="str">
        <f>TEXT(数据源!B7,"00000000")</f>
        <v>00000000</v>
      </c>
      <c r="D10" s="363"/>
      <c r="E10" s="365" t="s">
        <v>141</v>
      </c>
      <c r="F10" s="365"/>
      <c r="G10" s="363" t="str">
        <f>TEXT(数据源!B2,"00000000000")</f>
        <v>00000000000</v>
      </c>
      <c r="H10" s="363"/>
      <c r="I10" s="363"/>
      <c r="J10" s="77"/>
    </row>
    <row r="11" spans="1:10" ht="20.100000000000001" customHeight="1">
      <c r="A11" s="365" t="s">
        <v>142</v>
      </c>
      <c r="B11" s="365"/>
      <c r="C11" s="363">
        <f>数据源!G7</f>
        <v>0</v>
      </c>
      <c r="D11" s="363"/>
      <c r="E11" s="365" t="s">
        <v>143</v>
      </c>
      <c r="F11" s="365"/>
      <c r="G11" s="363">
        <f>数据源!O2</f>
        <v>0</v>
      </c>
      <c r="H11" s="363"/>
      <c r="I11" s="363"/>
      <c r="J11" s="77"/>
    </row>
    <row r="12" spans="1:10" ht="20.100000000000001" customHeight="1">
      <c r="A12" s="365" t="s">
        <v>144</v>
      </c>
      <c r="B12" s="365"/>
      <c r="C12" s="363" t="str">
        <f>TEXT(数据修正!V26,"#")&amp;数据修正!V23</f>
        <v>0</v>
      </c>
      <c r="D12" s="363"/>
      <c r="E12" s="365" t="s">
        <v>145</v>
      </c>
      <c r="F12" s="365"/>
      <c r="G12" s="363">
        <f>数据修正!V24</f>
        <v>0</v>
      </c>
      <c r="H12" s="363"/>
      <c r="I12" s="363"/>
      <c r="J12" s="77"/>
    </row>
    <row r="13" spans="1:10" ht="20.100000000000001" customHeight="1">
      <c r="A13" s="365" t="s">
        <v>146</v>
      </c>
      <c r="B13" s="365"/>
      <c r="C13" s="377" t="str">
        <f>数据修正!X21</f>
        <v>0//</v>
      </c>
      <c r="D13" s="377"/>
      <c r="E13" s="365" t="s">
        <v>147</v>
      </c>
      <c r="F13" s="365"/>
      <c r="G13" s="377" t="e">
        <f>数据修正!V16</f>
        <v>#N/A</v>
      </c>
      <c r="H13" s="377"/>
      <c r="I13" s="377"/>
      <c r="J13" s="77"/>
    </row>
    <row r="14" spans="1:10" ht="42" customHeight="1">
      <c r="A14" s="364" t="s">
        <v>220</v>
      </c>
      <c r="B14" s="364"/>
      <c r="C14" s="363" t="str">
        <f>数据源!G5&amp;数据修正!W1</f>
        <v>D</v>
      </c>
      <c r="D14" s="363"/>
      <c r="E14" s="365" t="s">
        <v>148</v>
      </c>
      <c r="F14" s="365"/>
      <c r="G14" s="363">
        <f>数据源!G9</f>
        <v>0</v>
      </c>
      <c r="H14" s="363"/>
      <c r="I14" s="363"/>
      <c r="J14" s="77"/>
    </row>
    <row r="15" spans="1:10" ht="16.5">
      <c r="A15" s="365" t="s">
        <v>149</v>
      </c>
      <c r="B15" s="365"/>
      <c r="C15" s="372">
        <f>数据源!B14</f>
        <v>0</v>
      </c>
      <c r="D15" s="372"/>
      <c r="E15" s="372"/>
      <c r="F15" s="372"/>
      <c r="G15" s="372"/>
      <c r="H15" s="372"/>
      <c r="I15" s="372"/>
      <c r="J15" s="372"/>
    </row>
    <row r="16" spans="1:10" ht="22.7" customHeight="1">
      <c r="A16" s="353" t="s">
        <v>163</v>
      </c>
      <c r="B16" s="353"/>
      <c r="C16" s="353"/>
      <c r="D16" s="353"/>
      <c r="E16" s="353"/>
      <c r="F16" s="353"/>
      <c r="G16" s="353"/>
      <c r="H16" s="353"/>
      <c r="I16" s="353"/>
      <c r="J16" s="353"/>
    </row>
    <row r="17" spans="1:10" ht="42" customHeight="1">
      <c r="A17" s="143"/>
      <c r="B17" s="140" t="s">
        <v>151</v>
      </c>
      <c r="C17" s="140"/>
      <c r="D17" s="140" t="s">
        <v>152</v>
      </c>
      <c r="E17" s="140" t="s">
        <v>154</v>
      </c>
      <c r="F17" s="140"/>
      <c r="G17" s="141" t="s">
        <v>164</v>
      </c>
      <c r="H17" s="142"/>
      <c r="I17" s="140" t="s">
        <v>156</v>
      </c>
      <c r="J17" s="140"/>
    </row>
    <row r="18" spans="1:10" ht="13.9" customHeight="1">
      <c r="A18" s="259"/>
      <c r="B18" s="272"/>
      <c r="C18" s="272"/>
      <c r="D18" s="272"/>
      <c r="E18" s="272"/>
      <c r="F18" s="272"/>
      <c r="G18" s="272"/>
      <c r="H18" s="272"/>
      <c r="I18" s="272"/>
      <c r="J18" s="137"/>
    </row>
    <row r="19" spans="1:10" ht="13.9" customHeight="1">
      <c r="A19" s="260"/>
      <c r="B19" s="272" t="s">
        <v>157</v>
      </c>
      <c r="C19" s="272"/>
      <c r="D19" s="272"/>
      <c r="E19" s="272"/>
      <c r="F19" s="272"/>
      <c r="G19" s="272"/>
      <c r="H19" s="272"/>
      <c r="I19" s="272"/>
      <c r="J19" s="244"/>
    </row>
    <row r="20" spans="1:10" ht="0.75" customHeight="1">
      <c r="A20" s="260"/>
      <c r="B20" s="272"/>
      <c r="C20" s="272"/>
      <c r="D20" s="272"/>
      <c r="E20" s="260"/>
      <c r="F20" s="260"/>
      <c r="G20" s="260"/>
      <c r="H20" s="260"/>
      <c r="I20" s="260"/>
      <c r="J20" s="244"/>
    </row>
    <row r="21" spans="1:10" ht="32.1" customHeight="1">
      <c r="A21" s="380" t="s">
        <v>165</v>
      </c>
      <c r="B21" s="380"/>
      <c r="C21" s="380"/>
      <c r="D21" s="380"/>
      <c r="E21" s="380"/>
      <c r="F21" s="380"/>
      <c r="G21" s="380"/>
      <c r="H21" s="380"/>
      <c r="I21" s="380"/>
      <c r="J21" s="380"/>
    </row>
    <row r="22" spans="1:10" ht="30.6" customHeight="1">
      <c r="A22" s="368" t="s">
        <v>161</v>
      </c>
      <c r="B22" s="368"/>
      <c r="C22" s="368"/>
      <c r="D22" s="208" t="e">
        <f>数据修正!V17</f>
        <v>#N/A</v>
      </c>
      <c r="E22" s="368" t="s">
        <v>171</v>
      </c>
      <c r="F22" s="368"/>
      <c r="G22" s="376" t="e">
        <f>数据修正!V18</f>
        <v>#N/A</v>
      </c>
      <c r="H22" s="376"/>
      <c r="I22" s="376"/>
      <c r="J22" s="76"/>
    </row>
    <row r="23" spans="1:10" ht="15" customHeight="1">
      <c r="A23" s="360" t="s">
        <v>306</v>
      </c>
      <c r="B23" s="360"/>
      <c r="C23" s="360"/>
      <c r="D23" s="360"/>
      <c r="E23" s="360"/>
      <c r="F23" s="360"/>
      <c r="G23" s="360"/>
      <c r="H23" s="360"/>
      <c r="I23" s="360"/>
      <c r="J23" s="360"/>
    </row>
    <row r="24" spans="1:10">
      <c r="A24" s="105"/>
      <c r="B24" s="155"/>
      <c r="C24" s="105"/>
      <c r="D24" s="155"/>
      <c r="E24" s="105"/>
      <c r="F24" s="105"/>
      <c r="G24" s="105"/>
      <c r="H24" s="105"/>
      <c r="I24" s="105"/>
      <c r="J24" s="105"/>
    </row>
  </sheetData>
  <sheetProtection selectLockedCells="1"/>
  <mergeCells count="38">
    <mergeCell ref="D1:I1"/>
    <mergeCell ref="A6:J6"/>
    <mergeCell ref="A7:E7"/>
    <mergeCell ref="F7:G7"/>
    <mergeCell ref="H7:J7"/>
    <mergeCell ref="D2:J2"/>
    <mergeCell ref="C15:J15"/>
    <mergeCell ref="E22:F22"/>
    <mergeCell ref="A16:J16"/>
    <mergeCell ref="G9:I9"/>
    <mergeCell ref="A10:B10"/>
    <mergeCell ref="C10:D10"/>
    <mergeCell ref="E10:F10"/>
    <mergeCell ref="G10:I10"/>
    <mergeCell ref="A9:B9"/>
    <mergeCell ref="C9:D9"/>
    <mergeCell ref="E9:F9"/>
    <mergeCell ref="A14:B14"/>
    <mergeCell ref="C14:D14"/>
    <mergeCell ref="E14:F14"/>
    <mergeCell ref="G14:I14"/>
    <mergeCell ref="A15:B15"/>
    <mergeCell ref="G22:I22"/>
    <mergeCell ref="A23:J23"/>
    <mergeCell ref="A11:B11"/>
    <mergeCell ref="C11:D11"/>
    <mergeCell ref="E11:F11"/>
    <mergeCell ref="G11:I11"/>
    <mergeCell ref="A12:B12"/>
    <mergeCell ref="C12:D12"/>
    <mergeCell ref="E12:F12"/>
    <mergeCell ref="G12:I12"/>
    <mergeCell ref="A13:B13"/>
    <mergeCell ref="C13:D13"/>
    <mergeCell ref="E13:F13"/>
    <mergeCell ref="G13:I13"/>
    <mergeCell ref="A21:J21"/>
    <mergeCell ref="A22:C22"/>
  </mergeCells>
  <phoneticPr fontId="3" type="noConversion"/>
  <printOptions horizontalCentered="1"/>
  <pageMargins left="0.31496062992125984" right="0.31496062992125984" top="0.39370078740157483" bottom="0.39370078740157483" header="0.39370078740157483" footer="0.19685039370078741"/>
  <pageSetup paperSize="9" orientation="portrait" r:id="rId1"/>
  <headerFooter>
    <oddFooter xml:space="preserve">&amp;C&amp;"微软雅黑,常规"&amp;9Attached sheet of &amp;P of &amp;N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25</vt:i4>
      </vt:variant>
    </vt:vector>
  </HeadingPairs>
  <TitlesOfParts>
    <vt:vector size="43" baseType="lpstr">
      <vt:lpstr>数据源</vt:lpstr>
      <vt:lpstr>数据修正</vt:lpstr>
      <vt:lpstr>格式修正</vt:lpstr>
      <vt:lpstr>AH产品中文S</vt:lpstr>
      <vt:lpstr>AH产品PF</vt:lpstr>
      <vt:lpstr>AH保健品</vt:lpstr>
      <vt:lpstr>产品中文</vt:lpstr>
      <vt:lpstr>产品中文S</vt:lpstr>
      <vt:lpstr>产品PF</vt:lpstr>
      <vt:lpstr>产品批量</vt:lpstr>
      <vt:lpstr>物料</vt:lpstr>
      <vt:lpstr>AH物料</vt:lpstr>
      <vt:lpstr>包材QA</vt:lpstr>
      <vt:lpstr>包材QC</vt:lpstr>
      <vt:lpstr>英文</vt:lpstr>
      <vt:lpstr>AH英文</vt:lpstr>
      <vt:lpstr>英文附页</vt:lpstr>
      <vt:lpstr>AH英文附页</vt:lpstr>
      <vt:lpstr>AH保健品!Print_Titles</vt:lpstr>
      <vt:lpstr>AH产品PF!Print_Titles</vt:lpstr>
      <vt:lpstr>AH产品中文S!Print_Titles</vt:lpstr>
      <vt:lpstr>AH物料!Print_Titles</vt:lpstr>
      <vt:lpstr>AH英文!Print_Titles</vt:lpstr>
      <vt:lpstr>AH英文附页!Print_Titles</vt:lpstr>
      <vt:lpstr>包材QA!Print_Titles</vt:lpstr>
      <vt:lpstr>包材QC!Print_Titles</vt:lpstr>
      <vt:lpstr>产品PF!Print_Titles</vt:lpstr>
      <vt:lpstr>产品批量!Print_Titles</vt:lpstr>
      <vt:lpstr>产品中文!Print_Titles</vt:lpstr>
      <vt:lpstr>产品中文S!Print_Titles</vt:lpstr>
      <vt:lpstr>物料!Print_Titles</vt:lpstr>
      <vt:lpstr>英文!Print_Titles</vt:lpstr>
      <vt:lpstr>英文附页!Print_Titles</vt:lpstr>
      <vt:lpstr>RANGE_GELATIN</vt:lpstr>
      <vt:lpstr>RANGE_MARA</vt:lpstr>
      <vt:lpstr>RANGE_PLOS</vt:lpstr>
      <vt:lpstr>RANGE_PLOS_KTEXT</vt:lpstr>
      <vt:lpstr>RANGE_S_INFO</vt:lpstr>
      <vt:lpstr>RANGE_S_SAMPLE</vt:lpstr>
      <vt:lpstr>RANGE_SAMPLE</vt:lpstr>
      <vt:lpstr>RANGE_TEST_S</vt:lpstr>
      <vt:lpstr>RANGE_TEST_TX</vt:lpstr>
      <vt:lpstr>RANGE_UNTEST_S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康咏</dc:creator>
  <cp:lastModifiedBy>zeting</cp:lastModifiedBy>
  <cp:lastPrinted>2019-12-19T07:59:21Z</cp:lastPrinted>
  <dcterms:created xsi:type="dcterms:W3CDTF">2019-10-22T13:21:34Z</dcterms:created>
  <dcterms:modified xsi:type="dcterms:W3CDTF">2019-12-27T06:32:28Z</dcterms:modified>
</cp:coreProperties>
</file>